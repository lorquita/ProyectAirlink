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Riesgos" sheetId="1" r:id="rId4"/>
    <sheet state="visible" name="Priorizacion" sheetId="2" r:id="rId5"/>
    <sheet state="visible" name="CategoriaPrioridad" sheetId="3" r:id="rId6"/>
    <sheet state="visible" name="PrioridadTotalRiesgoo" sheetId="4" r:id="rId7"/>
    <sheet state="visible" name="PromedioDeRiesgosLatentes" sheetId="5" r:id="rId8"/>
    <sheet state="visible" name="Amenaza Total RIESGOx" sheetId="6" r:id="rId9"/>
    <sheet state="visible" name="Actividad y control TotALl" sheetId="7" r:id="rId10"/>
  </sheets>
  <definedNames/>
  <calcPr/>
  <pivotCaches>
    <pivotCache cacheId="0" r:id="rId11"/>
  </pivotCaches>
  <extLst>
    <ext uri="GoogleSheetsCustomDataVersion2">
      <go:sheetsCustomData xmlns:go="http://customooxmlschemas.google.com/" r:id="rId12" roundtripDataChecksum="Byvk8aRl/teHo5BtFGoxAp7Qe1KNXLNIVr+C/lvsIi0="/>
    </ext>
  </extLst>
</workbook>
</file>

<file path=xl/sharedStrings.xml><?xml version="1.0" encoding="utf-8"?>
<sst xmlns="http://schemas.openxmlformats.org/spreadsheetml/2006/main" count="954" uniqueCount="492">
  <si>
    <t>Listado de Riesgos: Gestión de Riesgos en Proyectos</t>
  </si>
  <si>
    <t xml:space="preserve"> </t>
  </si>
  <si>
    <t>RIESGO NO MATERIALIZADO</t>
  </si>
  <si>
    <t>RIESGO MATERIALIZADO</t>
  </si>
  <si>
    <t>Nro</t>
  </si>
  <si>
    <t>.</t>
  </si>
  <si>
    <t>Causas Raíz</t>
  </si>
  <si>
    <t>Tipo</t>
  </si>
  <si>
    <t>Categoría de Riesgo</t>
  </si>
  <si>
    <t>Probabilidad</t>
  </si>
  <si>
    <t>Impacto</t>
  </si>
  <si>
    <t>Prioridad</t>
  </si>
  <si>
    <t>Actividad y Control</t>
  </si>
  <si>
    <t>Cargo</t>
  </si>
  <si>
    <t>Responsable</t>
  </si>
  <si>
    <t xml:space="preserve">Mitigacion </t>
  </si>
  <si>
    <t>Accion</t>
  </si>
  <si>
    <t>Estrategia de Respuesta</t>
  </si>
  <si>
    <t>Plan de Respuesta</t>
  </si>
  <si>
    <t>Monitoreo</t>
  </si>
  <si>
    <t>Frecuencia de Control</t>
  </si>
  <si>
    <t>Tipo de Estrategia</t>
  </si>
  <si>
    <t>Mitigación / Plan de contingencia o estrategia de oportunidad</t>
  </si>
  <si>
    <t xml:space="preserve">Descripcion del Riesgo </t>
  </si>
  <si>
    <t xml:space="preserve"> tipo de riesgo </t>
  </si>
  <si>
    <t>Amenaza</t>
  </si>
  <si>
    <t>Oportunidad</t>
  </si>
  <si>
    <t>Alta</t>
  </si>
  <si>
    <t>Media</t>
  </si>
  <si>
    <t>Baja</t>
  </si>
  <si>
    <t>Fallo en la integración con aerolíneas</t>
  </si>
  <si>
    <t>Riesgo Tecnológico</t>
  </si>
  <si>
    <t>APIs externas no disponibles</t>
  </si>
  <si>
    <t>Presupuestaria</t>
  </si>
  <si>
    <t>Optimización de costos en infraestructura tecnológica</t>
  </si>
  <si>
    <t>Operacional</t>
  </si>
  <si>
    <t>x</t>
  </si>
  <si>
    <t>Automático</t>
  </si>
  <si>
    <t>Administrador de Infraestructura TI</t>
  </si>
  <si>
    <t>Lucas Ferrer</t>
  </si>
  <si>
    <t>Implementar redundancia de servidores</t>
  </si>
  <si>
    <t>Balanceo de carga</t>
  </si>
  <si>
    <t>Mitigar (Alta disponibilidad)</t>
  </si>
  <si>
    <t>Replicar servidores en distintas regiones</t>
  </si>
  <si>
    <t>Logs y uptime</t>
  </si>
  <si>
    <t>Diario</t>
  </si>
  <si>
    <t>Mitigación</t>
  </si>
  <si>
    <t>Reforzar la arquitectura con redundancia geográfica</t>
  </si>
  <si>
    <t>Caída del sistema en horas pico</t>
  </si>
  <si>
    <t>Sobrecarga de usuarios</t>
  </si>
  <si>
    <t>Rentabilidad</t>
  </si>
  <si>
    <t>Rentabilidad mediante escalabilidad en la nube</t>
  </si>
  <si>
    <t>Semi-Automática</t>
  </si>
  <si>
    <t>Líder de Desarrollo de Software</t>
  </si>
  <si>
    <t>Valeria Montes</t>
  </si>
  <si>
    <t>Uso de firewall y WAF</t>
  </si>
  <si>
    <t>Monitoreo tráfico</t>
  </si>
  <si>
    <t>Mitigar (Defensa en capas)</t>
  </si>
  <si>
    <t>Implementar WAF y firewall de red</t>
  </si>
  <si>
    <t>SOC</t>
  </si>
  <si>
    <t>Protección ante DDoS y tráfico malicioso</t>
  </si>
  <si>
    <t>Pérdida de datos de usuarios</t>
  </si>
  <si>
    <t>Ataques cibernéticos</t>
  </si>
  <si>
    <t>Continuidad operativa</t>
  </si>
  <si>
    <t>Continuidad operativa garantizada con backups y cifrado</t>
  </si>
  <si>
    <t>Gerente de Tecnología (CTO)</t>
  </si>
  <si>
    <t>Javier Roldán</t>
  </si>
  <si>
    <t>Respaldo de datos</t>
  </si>
  <si>
    <t>Backups automáticos</t>
  </si>
  <si>
    <t>Mitigar (Recuperación de desastres)</t>
  </si>
  <si>
    <t>Configurar backup en nube y on-premise</t>
  </si>
  <si>
    <t>Alertas de backup</t>
  </si>
  <si>
    <t>Semanal</t>
  </si>
  <si>
    <t>Backup redundante y pruebas de restauración</t>
  </si>
  <si>
    <t>Fuga de información confidencial</t>
  </si>
  <si>
    <t>Acceso indebido de empleados</t>
  </si>
  <si>
    <t>Interrupción de servicios</t>
  </si>
  <si>
    <t>Interrupción mínima con gestión de accesos</t>
  </si>
  <si>
    <t>Interno</t>
  </si>
  <si>
    <t>CISO (Chief Information Security Officer)</t>
  </si>
  <si>
    <t>Martín Arce</t>
  </si>
  <si>
    <t>Autenticación MFA</t>
  </si>
  <si>
    <t>Autenticación multifactor</t>
  </si>
  <si>
    <t>Mitigar (Control de accesos)</t>
  </si>
  <si>
    <t>Integrar MFA en todos los accesos críticos</t>
  </si>
  <si>
    <t>Logs de accesos</t>
  </si>
  <si>
    <t>Implementar MFA y políticas de contraseñas seguras</t>
  </si>
  <si>
    <t>Vulnerabilidades en escritorio admin</t>
  </si>
  <si>
    <t>Software desactualizado</t>
  </si>
  <si>
    <t>Falta de medidas de protección y concienciación del usuario</t>
  </si>
  <si>
    <t>Concienciación y cultura de ciberseguridad</t>
  </si>
  <si>
    <t>Equipo de Seguridad Informática (SOC)</t>
  </si>
  <si>
    <t>Natalia Espinoza</t>
  </si>
  <si>
    <t>Actualizaciones periódicas</t>
  </si>
  <si>
    <t>Parches automáticos</t>
  </si>
  <si>
    <t>Evitar (Gestión de vulnerabilidades)</t>
  </si>
  <si>
    <t>Programar ciclo de actualizaciones</t>
  </si>
  <si>
    <t>Reporte de versiones</t>
  </si>
  <si>
    <t>Mensual</t>
  </si>
  <si>
    <t>Automatizar parches y actualizaciones críticas</t>
  </si>
  <si>
    <t>Integración fallida con pasarela de pago</t>
  </si>
  <si>
    <t>Cambios en APIs externas</t>
  </si>
  <si>
    <t>Seguridad cibernética</t>
  </si>
  <si>
    <t>Seguridad cibernética con proveedores alternativos</t>
  </si>
  <si>
    <t>Director de Cumplimiento Legal</t>
  </si>
  <si>
    <t>Eduardo Salazar</t>
  </si>
  <si>
    <t>Auditoría legal continua</t>
  </si>
  <si>
    <t>Contratar asesoría</t>
  </si>
  <si>
    <t>Evitar (Cumplimiento normativo)</t>
  </si>
  <si>
    <t>Revisar leyes locales y normativas</t>
  </si>
  <si>
    <t>Auditorías externas</t>
  </si>
  <si>
    <t>Trimestral</t>
  </si>
  <si>
    <t>Adaptación proactiva a normativas de transporte</t>
  </si>
  <si>
    <t>Incompatibilidad en navegadores</t>
  </si>
  <si>
    <t>Diferentes versiones de clientes</t>
  </si>
  <si>
    <t>Cumplimiento de plazos</t>
  </si>
  <si>
    <t>Cumplimiento de plazos con QA multiplataforma</t>
  </si>
  <si>
    <t>Externo</t>
  </si>
  <si>
    <t>Abogado de Propiedad Intelectual</t>
  </si>
  <si>
    <t>Sofía Miranda</t>
  </si>
  <si>
    <t>Revisión contractual</t>
  </si>
  <si>
    <t>Contratos con proveedores</t>
  </si>
  <si>
    <t>Transferir (Asegurar acuerdos SLA)</t>
  </si>
  <si>
    <t>Incluir cláusulas de responsabilidad</t>
  </si>
  <si>
    <t>Revisión contratos</t>
  </si>
  <si>
    <t>Semestral</t>
  </si>
  <si>
    <t>Transferencia</t>
  </si>
  <si>
    <t>Diversificación de proveedores con SLA robustos</t>
  </si>
  <si>
    <t>Retrasos en generación de reportes</t>
  </si>
  <si>
    <t>Sobrecarga en consultas</t>
  </si>
  <si>
    <t>Dependencia externa</t>
  </si>
  <si>
    <t>Reducción de dependencia externa con optimización de BD</t>
  </si>
  <si>
    <t>Manual</t>
  </si>
  <si>
    <t>Director de Estrategia y Negocios</t>
  </si>
  <si>
    <t>Ricardo Valdivia</t>
  </si>
  <si>
    <t>Capacitación de empleados</t>
  </si>
  <si>
    <t>Programas de ciberseguridad</t>
  </si>
  <si>
    <t>Mitigar (Concientización)</t>
  </si>
  <si>
    <t>Talleres de phishing y seguridad</t>
  </si>
  <si>
    <t>Reportes de capacitaciones</t>
  </si>
  <si>
    <t>Concienciación continua y simulaciones de ataque</t>
  </si>
  <si>
    <t>Fallo en backup automático</t>
  </si>
  <si>
    <t>Configuración incorrecta</t>
  </si>
  <si>
    <t>Capacidad interna</t>
  </si>
  <si>
    <t>Mayor capacidad interna y resiliencia</t>
  </si>
  <si>
    <t>Líder de UX/UI</t>
  </si>
  <si>
    <t>Camila Olguín</t>
  </si>
  <si>
    <t>Pruebas de usabilidad</t>
  </si>
  <si>
    <t>Encuestas clientes</t>
  </si>
  <si>
    <t>Mitigar (Mejor UX)</t>
  </si>
  <si>
    <t>Aplicar metodología UX/UI</t>
  </si>
  <si>
    <t>Encuestas online</t>
  </si>
  <si>
    <t>Mejorar adopción mediante rediseño de interfaz</t>
  </si>
  <si>
    <t>Pérdida de conexión con base de datos</t>
  </si>
  <si>
    <t>Fallo de servidor</t>
  </si>
  <si>
    <t>Competitiva</t>
  </si>
  <si>
    <t>Ventaja competitiva con redundancia</t>
  </si>
  <si>
    <t>CFO (Chief Financial Officer)</t>
  </si>
  <si>
    <t>Fernando Estévez</t>
  </si>
  <si>
    <t>Sistema antifraude</t>
  </si>
  <si>
    <t>Validaciones de pagos</t>
  </si>
  <si>
    <t>Transferir (Seguros antifraude)</t>
  </si>
  <si>
    <t>Implementar AI para patrones de fraude</t>
  </si>
  <si>
    <t>Logs de transacciones</t>
  </si>
  <si>
    <t>Seguros de fraude y validación en tiempo real</t>
  </si>
  <si>
    <t>Estafas a usuarios en pagos externos</t>
  </si>
  <si>
    <t xml:space="preserve">Riesgo de Financiero </t>
  </si>
  <si>
    <t>Pasarela de pago no segura</t>
  </si>
  <si>
    <t>Adopción del mercado</t>
  </si>
  <si>
    <t>Adopción de mercado con confianza del cliente</t>
  </si>
  <si>
    <t>Gerente de Operaciones Financieras</t>
  </si>
  <si>
    <t>Paula Núñez</t>
  </si>
  <si>
    <t>Optimizar costos</t>
  </si>
  <si>
    <t>Dimensionamiento</t>
  </si>
  <si>
    <t>Mitigar (Escalabilidad financiera)</t>
  </si>
  <si>
    <t>Monitoreo de infraestructura cloud</t>
  </si>
  <si>
    <t>Reporte de consumo</t>
  </si>
  <si>
    <t>Ajustar recursos dinámicamente según demanda</t>
  </si>
  <si>
    <t>Costos de infraestructura elevados</t>
  </si>
  <si>
    <t>Mal dimensionamiento</t>
  </si>
  <si>
    <t>Sobreexpansión</t>
  </si>
  <si>
    <t>Sobreexpansión controlada mediante escalabilidad</t>
  </si>
  <si>
    <t>Oficial de Prevención de Fraude</t>
  </si>
  <si>
    <t>Diego Larralde</t>
  </si>
  <si>
    <t>Plan de recuperación</t>
  </si>
  <si>
    <t>Failover automático</t>
  </si>
  <si>
    <t>Mitigar (Continuidad de negocio)</t>
  </si>
  <si>
    <t>Tener servidores espejo</t>
  </si>
  <si>
    <t>Pruebas de failover</t>
  </si>
  <si>
    <t>Replicación en centros de datos alternos</t>
  </si>
  <si>
    <t>Incumplimiento de pago de convenios</t>
  </si>
  <si>
    <t>Empresas asociadas incumplen</t>
  </si>
  <si>
    <t>Comercial</t>
  </si>
  <si>
    <t>Oportunidad comercial con proveedores alternativos</t>
  </si>
  <si>
    <t>Gerente de Innovación y Crecimiento</t>
  </si>
  <si>
    <t>Elena Fuentes</t>
  </si>
  <si>
    <t>Uso de software legal</t>
  </si>
  <si>
    <t>Auditoría de licencias</t>
  </si>
  <si>
    <t>Mitigar (Propiedad intelectual)</t>
  </si>
  <si>
    <t>Validar licencias y renovar contratos</t>
  </si>
  <si>
    <t>Inventario TI</t>
  </si>
  <si>
    <t>Registro de licencias activas y vigentes</t>
  </si>
  <si>
    <t>Caída de ingresos por baja demanda</t>
  </si>
  <si>
    <t>Crisis económica</t>
  </si>
  <si>
    <t>Diversificación limitada</t>
  </si>
  <si>
    <t>Diversificación de ingresos</t>
  </si>
  <si>
    <t>Nuevos convenios</t>
  </si>
  <si>
    <t>Mitigar (Estrategia de ingresos)</t>
  </si>
  <si>
    <t>Integrar servicios adicionales (hoteles, tours)</t>
  </si>
  <si>
    <t>KPIs financieros</t>
  </si>
  <si>
    <t>Diversificación y cross-selling</t>
  </si>
  <si>
    <t>Riesgo de tipo de cambio</t>
  </si>
  <si>
    <t>Variaciones monetarias</t>
  </si>
  <si>
    <t>Cumplimiento regulatorio</t>
  </si>
  <si>
    <t>Cumplimiento regulatorio con coberturas</t>
  </si>
  <si>
    <t>Analista de Seguridad</t>
  </si>
  <si>
    <t>Marcos Ibarra</t>
  </si>
  <si>
    <t>Monitoreo base de datos</t>
  </si>
  <si>
    <t>Optimización SQL</t>
  </si>
  <si>
    <t>Mitigar (Rendimiento)</t>
  </si>
  <si>
    <t>Indexación, caché y replicación</t>
  </si>
  <si>
    <t>Logs de consultas</t>
  </si>
  <si>
    <t>Optimizar consultas e índices en tiempo real</t>
  </si>
  <si>
    <t>Incumplimiento normativo de transporte</t>
  </si>
  <si>
    <t>Riesgo Regulatorio</t>
  </si>
  <si>
    <t>Cambios en regulaciones locales</t>
  </si>
  <si>
    <t>Operativo</t>
  </si>
  <si>
    <t>Operativo con adaptación temprana</t>
  </si>
  <si>
    <t>Gerente de Logística y Abastecimiento</t>
  </si>
  <si>
    <t>Andrea Serrano</t>
  </si>
  <si>
    <t>Marketing digital</t>
  </si>
  <si>
    <t>Campañas online</t>
  </si>
  <si>
    <t>Mitigar (Baja visibilidad)</t>
  </si>
  <si>
    <t>Estrategia SEO y campañas ads</t>
  </si>
  <si>
    <t>Métricas de tráfico</t>
  </si>
  <si>
    <t>Estrategia digital para mayor adopción</t>
  </si>
  <si>
    <t>Multas por incumplir protección de datos</t>
  </si>
  <si>
    <t>No cumplir Ley 19.628 (Chile)</t>
  </si>
  <si>
    <t>Económico</t>
  </si>
  <si>
    <t>Estabilidad económica con cumplimiento normativo</t>
  </si>
  <si>
    <t>Coordinador de Soporte Post-Venta</t>
  </si>
  <si>
    <t>Gabriel Quintana</t>
  </si>
  <si>
    <t>Contratar seguros</t>
  </si>
  <si>
    <t>Cobertura financiera</t>
  </si>
  <si>
    <t>Transferir (Protección financiera)</t>
  </si>
  <si>
    <t>Seguros contra pérdidas</t>
  </si>
  <si>
    <t>Reportes financieros</t>
  </si>
  <si>
    <t>Anual</t>
  </si>
  <si>
    <t>Seguro de responsabilidad civil y pérdidas</t>
  </si>
  <si>
    <t>Riesgo en licencias de software</t>
  </si>
  <si>
    <t>Uso de librerías sin licencia</t>
  </si>
  <si>
    <t>Operativo con control de licencias</t>
  </si>
  <si>
    <t>Jefe de Almacén y Control de Inventarios</t>
  </si>
  <si>
    <t>Hernán Duarte</t>
  </si>
  <si>
    <t>Migración a cloud escalable</t>
  </si>
  <si>
    <t>Uso de Kubernetes</t>
  </si>
  <si>
    <t>Mitigar (Escalabilidad tecnológica)</t>
  </si>
  <si>
    <t>Automatizar despliegues en cloud</t>
  </si>
  <si>
    <t>Logs de escalado</t>
  </si>
  <si>
    <t>Arquitectura flexible y escalable</t>
  </si>
  <si>
    <t>Restricciones migratorias de países</t>
  </si>
  <si>
    <t>Políticas de visado</t>
  </si>
  <si>
    <t>Oportunidad comercial con asesoría de viajes</t>
  </si>
  <si>
    <t>Analista de Pricing y Estrategia Comercial</t>
  </si>
  <si>
    <t>Claudia Bermúdez</t>
  </si>
  <si>
    <t>Gestión de precios dinámica</t>
  </si>
  <si>
    <t>Pricing AI</t>
  </si>
  <si>
    <t>Mitigar (Competitividad)</t>
  </si>
  <si>
    <t>Ajuste automático de precios</t>
  </si>
  <si>
    <t>Comparativa mercado</t>
  </si>
  <si>
    <t>Pricing dinámico basado en mercado</t>
  </si>
  <si>
    <t>Poca adopción de usuarios</t>
  </si>
  <si>
    <t>Riesgo Estrategico</t>
  </si>
  <si>
    <t>Plataforma poco intuitiva</t>
  </si>
  <si>
    <t>Comercial con mejoras en UX</t>
  </si>
  <si>
    <t>Mercado</t>
  </si>
  <si>
    <t>Gerente de Compras y Proveedores</t>
  </si>
  <si>
    <t>Santiago Lira</t>
  </si>
  <si>
    <t>Pruebas de estrés</t>
  </si>
  <si>
    <t>Testing de carga</t>
  </si>
  <si>
    <t>Mitigar (Sobrecarga de usuarios)</t>
  </si>
  <si>
    <t>Ejecutar stress tests</t>
  </si>
  <si>
    <t>Reportes de rendimiento</t>
  </si>
  <si>
    <t>Asegurar performance en horas pico</t>
  </si>
  <si>
    <t>Competencia fuerte en el mercado</t>
  </si>
  <si>
    <t>Nuevos competidores</t>
  </si>
  <si>
    <t>Ciberseguridad</t>
  </si>
  <si>
    <t>Ciberseguridad como diferenciador</t>
  </si>
  <si>
    <t>Plan de comunicación</t>
  </si>
  <si>
    <t>Gestión reputación</t>
  </si>
  <si>
    <t>Mitigar (Mala reputación)</t>
  </si>
  <si>
    <t>Estrategia de redes sociales</t>
  </si>
  <si>
    <t>Métricas de reseñas</t>
  </si>
  <si>
    <t>Respuesta rápida a reseñas negativas</t>
  </si>
  <si>
    <t>Baja visibilidad de marca</t>
  </si>
  <si>
    <t>Falta de marketing digital</t>
  </si>
  <si>
    <t>Infraestructura</t>
  </si>
  <si>
    <t>Infraestructura de marketing digital</t>
  </si>
  <si>
    <t>Director de Innovación y Desarrollo</t>
  </si>
  <si>
    <t>Diana Sepúlveda</t>
  </si>
  <si>
    <t>Consultoría legal</t>
  </si>
  <si>
    <t>Evitar (Multas regulatorias)</t>
  </si>
  <si>
    <t>Mantenerse actualizado en normativas</t>
  </si>
  <si>
    <t>Reportes legales</t>
  </si>
  <si>
    <t>Cumplimiento activo con asesoría legal</t>
  </si>
  <si>
    <t>Falta de alianzas con hoteles</t>
  </si>
  <si>
    <t>Negociaciones no exitosas</t>
  </si>
  <si>
    <t>Infraestructura con nuevos convenios</t>
  </si>
  <si>
    <t>Administrador de Bases de Datos (DBA)</t>
  </si>
  <si>
    <t>Federico Alonso</t>
  </si>
  <si>
    <t>Programas de fidelización</t>
  </si>
  <si>
    <t>Segmentación clientes</t>
  </si>
  <si>
    <t>Mitigar (Poca adopción)</t>
  </si>
  <si>
    <t>Implementar programa de puntos</t>
  </si>
  <si>
    <t>KPIs de lealtad</t>
  </si>
  <si>
    <t>Fidelización mediante recompensas</t>
  </si>
  <si>
    <t>Pérdida de usuarios por mala reputación</t>
  </si>
  <si>
    <t>Malas reseñas online</t>
  </si>
  <si>
    <t>Diferenciación en ciberseguridad y servicio</t>
  </si>
  <si>
    <t>Ingeniero de Integraciones y Datos</t>
  </si>
  <si>
    <t>Luciana Vidal</t>
  </si>
  <si>
    <t>Monitoreo de transporte</t>
  </si>
  <si>
    <t>Tracking GPS</t>
  </si>
  <si>
    <t>Mitigar (Logística)</t>
  </si>
  <si>
    <t>Seguimiento en tiempo real de buses</t>
  </si>
  <si>
    <t>Reportes GPS</t>
  </si>
  <si>
    <t>GPS en flotas y alertas en tiempo real</t>
  </si>
  <si>
    <t>Retrasos en convenios con buses</t>
  </si>
  <si>
    <t>Riesgo Logistico</t>
  </si>
  <si>
    <t>Negociaciones largas</t>
  </si>
  <si>
    <t>Infraestructura con múltiples proveedores</t>
  </si>
  <si>
    <t>Gerente de Infraestructura TI</t>
  </si>
  <si>
    <t>Matías Herrera</t>
  </si>
  <si>
    <t>Automatizar procesos</t>
  </si>
  <si>
    <t>ERP interno</t>
  </si>
  <si>
    <t>Mitigar (Optimización procesos)</t>
  </si>
  <si>
    <t>Implementar ERP</t>
  </si>
  <si>
    <t>Auditoría de procesos</t>
  </si>
  <si>
    <t>Digitalización de procesos internos</t>
  </si>
  <si>
    <t>Cancelación de vuelos</t>
  </si>
  <si>
    <t>Problemas climáticos</t>
  </si>
  <si>
    <t>Mantenimiento</t>
  </si>
  <si>
    <t>Mantenimiento y seguros de viaje</t>
  </si>
  <si>
    <t>Gerente de Desarrollo y Arquitectura</t>
  </si>
  <si>
    <t>Lorena Castillo</t>
  </si>
  <si>
    <t>Capacitaciones internas</t>
  </si>
  <si>
    <t>Plan de retención</t>
  </si>
  <si>
    <t>Mitigar (Rotación de personal)</t>
  </si>
  <si>
    <t>Programas de beneficios</t>
  </si>
  <si>
    <t>Reportes de RRHH</t>
  </si>
  <si>
    <t>Programas de motivación y beneficios</t>
  </si>
  <si>
    <t>Huelgas de transporte</t>
  </si>
  <si>
    <t>Conflictos laborales</t>
  </si>
  <si>
    <t>Operativo con planes de contingencia</t>
  </si>
  <si>
    <t>Monitoreo climático</t>
  </si>
  <si>
    <t>Alertas meteorológicas</t>
  </si>
  <si>
    <t>Transferir (Prevención vuelos)</t>
  </si>
  <si>
    <t>Contratos con aerolíneas backup</t>
  </si>
  <si>
    <t>Datos climáticos</t>
  </si>
  <si>
    <t>Monitoreo climático y proveedores alternos</t>
  </si>
  <si>
    <t>Retraso en entregas de buses</t>
  </si>
  <si>
    <t>Problemas de flota</t>
  </si>
  <si>
    <t>Operativo con empresas backup</t>
  </si>
  <si>
    <t>Inventario software</t>
  </si>
  <si>
    <t>Sustitución obsoletos</t>
  </si>
  <si>
    <t>Mitigar (Tecnología actualizada)</t>
  </si>
  <si>
    <t>Plan de migración</t>
  </si>
  <si>
    <t>Reporte TI</t>
  </si>
  <si>
    <t>Migración a software con soporte</t>
  </si>
  <si>
    <t>Rotación de personal clave</t>
  </si>
  <si>
    <t>Riesgo Operacional</t>
  </si>
  <si>
    <t>Desmotivación / sobrecarga</t>
  </si>
  <si>
    <t>Operativo con planes de retención</t>
  </si>
  <si>
    <t>Pruebas de integridad</t>
  </si>
  <si>
    <t>Replicación BD</t>
  </si>
  <si>
    <t>Mitigar (Consistencia de datos)</t>
  </si>
  <si>
    <t>Implementar rollback y reconciliación</t>
  </si>
  <si>
    <t>Alertas BD</t>
  </si>
  <si>
    <t>Replicación automática y rollback seguro</t>
  </si>
  <si>
    <t>Riesgo en documentación del proyecto</t>
  </si>
  <si>
    <t>Entregables incompletos</t>
  </si>
  <si>
    <t>Operativo con control de versiones</t>
  </si>
  <si>
    <t>Inversión en I+D</t>
  </si>
  <si>
    <t>Innovación continua</t>
  </si>
  <si>
    <t>Oportunidad (Nuevos mercados)</t>
  </si>
  <si>
    <t>Crear laboratorios de innovación</t>
  </si>
  <si>
    <t>Reportes de I+D</t>
  </si>
  <si>
    <t>Impulsar innovación en servicios complementarios</t>
  </si>
  <si>
    <t>Fallo en autenticación de usuarios</t>
  </si>
  <si>
    <t>Mala implementación de OAuth / SSO</t>
  </si>
  <si>
    <t>Usuarios no pueden acceder</t>
  </si>
  <si>
    <t>Fortalecer seguridad con SSO robusto</t>
  </si>
  <si>
    <t>Reforzar autenticación</t>
  </si>
  <si>
    <t>Revisar y optimizar OAuth/SSO</t>
  </si>
  <si>
    <t>Mitigar (Seguridad de accesos)</t>
  </si>
  <si>
    <t>Migrar a proveedor SSO robusto y agregar MFA</t>
  </si>
  <si>
    <t>Logs de acceso</t>
  </si>
  <si>
    <t>Implementar SSO seguro con MFA obligatorio</t>
  </si>
  <si>
    <t>Latencia alta en consultas a la base de datos</t>
  </si>
  <si>
    <t>Consultas SQL mal optimizadas</t>
  </si>
  <si>
    <t>Lentitud en el sistema</t>
  </si>
  <si>
    <t>Oportunidad de migrar a bases distribuidas</t>
  </si>
  <si>
    <t>Optimizar consultas SQL</t>
  </si>
  <si>
    <t>Refactorizar queries críticas</t>
  </si>
  <si>
    <t>Migrar a DB distribuida y usar caché</t>
  </si>
  <si>
    <t>Métricas de latencia</t>
  </si>
  <si>
    <t>Optimizar base de datos e implementar caching</t>
  </si>
  <si>
    <t>Pérdida de sincronización entre sistemas externos</t>
  </si>
  <si>
    <t>Integración deficiente con APIs de buses o aerolíneas</t>
  </si>
  <si>
    <t>Información inconsistente</t>
  </si>
  <si>
    <t>Mejorar middleware de integración</t>
  </si>
  <si>
    <t>Middleware de integración</t>
  </si>
  <si>
    <t>Implementar colas de mensajes</t>
  </si>
  <si>
    <t>Establecer control de sincronización entre APIs</t>
  </si>
  <si>
    <t>Logs de integración</t>
  </si>
  <si>
    <t>Middleware resiliente con colas y reintentos</t>
  </si>
  <si>
    <t>Fallo en sistema de notificaciones al cliente</t>
  </si>
  <si>
    <t>Errores en servidores de mensajería (email, SMS, push)</t>
  </si>
  <si>
    <t>Usuarios no reciben información clave</t>
  </si>
  <si>
    <t>Implementar múltiples canales redundantes</t>
  </si>
  <si>
    <t>Canales redundantes</t>
  </si>
  <si>
    <t>Añadir SMS y push</t>
  </si>
  <si>
    <t>Mitigar (Comunicación robusta)</t>
  </si>
  <si>
    <t>Activar fallback de notificaciones en múltiples canales</t>
  </si>
  <si>
    <t>Reporte de entregas</t>
  </si>
  <si>
    <t>Garantizar comunicación multicanal redundante</t>
  </si>
  <si>
    <t>Errores en actualizaciones automáticas del escritorio admin</t>
  </si>
  <si>
    <t>Parches incompatibles / falta de QA</t>
  </si>
  <si>
    <t>Caída de la aplicación administrativa</t>
  </si>
  <si>
    <t>Fortalecer proceso CI/CD y pruebas previas</t>
  </si>
  <si>
    <t>Refuerzo en CI/CD</t>
  </si>
  <si>
    <t>Pruebas automatizadas</t>
  </si>
  <si>
    <t>Mitigar (Calidad de actualizaciones)</t>
  </si>
  <si>
    <t>Añadir rollback automático y entornos de staging</t>
  </si>
  <si>
    <t>Pipeline CI/CD</t>
  </si>
  <si>
    <t>Cada despliegue</t>
  </si>
  <si>
    <t>Automatizar QA y rollback en actualizaciones</t>
  </si>
  <si>
    <t>Fallo en inicio de sesión web</t>
  </si>
  <si>
    <t>Errores en autenticación (JWT/OAuth)</t>
  </si>
  <si>
    <t>Usuarios no pueden ingresar</t>
  </si>
  <si>
    <t>Implementar login social (Google/Facebook)</t>
  </si>
  <si>
    <t>Autenticación social</t>
  </si>
  <si>
    <t>Implementar login alternativo</t>
  </si>
  <si>
    <t>Mitigar (Disponibilidad login)</t>
  </si>
  <si>
    <t>Añadir login con Google/Facebook como backup</t>
  </si>
  <si>
    <t>Logs de login</t>
  </si>
  <si>
    <t>Asegurar login alternativo en caso de falla</t>
  </si>
  <si>
    <t>Caída del sistema de pagos online</t>
  </si>
  <si>
    <t>Interrupción pasarela de pago</t>
  </si>
  <si>
    <t>Usuarios no completan compras</t>
  </si>
  <si>
    <t>Integrar múltiples proveedores de pago</t>
  </si>
  <si>
    <t>Redundancia de pagos</t>
  </si>
  <si>
    <t>Integrar múltiples pasarelas</t>
  </si>
  <si>
    <t>Transferir (Diversificar riesgo)</t>
  </si>
  <si>
    <t>Configurar fallback a otra pasarela activa</t>
  </si>
  <si>
    <t>Reporte de transacciones</t>
  </si>
  <si>
    <t>Uso de varios proveedores de pago con SLA</t>
  </si>
  <si>
    <t>Ataques de phishing a usuarios</t>
  </si>
  <si>
    <t>Enlaces falsos imitando la web oficial</t>
  </si>
  <si>
    <t>Robo de credenciales</t>
  </si>
  <si>
    <t>Campañas educativas + detección de dominios falsos</t>
  </si>
  <si>
    <t>Antiphishing</t>
  </si>
  <si>
    <t>Monitor de dominios falsos</t>
  </si>
  <si>
    <t>Evitar (Prevención de fraudes)</t>
  </si>
  <si>
    <t>Activar alertas tempranas y campañas de concienciación</t>
  </si>
  <si>
    <t>Reportes SOC</t>
  </si>
  <si>
    <t>Monitorear phishing y educar usuarios</t>
  </si>
  <si>
    <t>Fallo en despliegue de actualizaciones web</t>
  </si>
  <si>
    <t>Errores en CI/CD al subir nuevas versiones</t>
  </si>
  <si>
    <t>Interrupción del servicio web</t>
  </si>
  <si>
    <t>Implementar rollback automático</t>
  </si>
  <si>
    <t>Rollback en despliegue</t>
  </si>
  <si>
    <t>Automatizar reversión</t>
  </si>
  <si>
    <t>Mitigar (Continuidad web)</t>
  </si>
  <si>
    <t>Implementar canary releases y rollback inmediato</t>
  </si>
  <si>
    <t>Alertas CI/CD</t>
  </si>
  <si>
    <t>Reducir riesgos con rollback automático</t>
  </si>
  <si>
    <t xml:space="preserve">Incompatibilidad en dispositivos </t>
  </si>
  <si>
    <t xml:space="preserve">Diferentes resoluciones/navegadores </t>
  </si>
  <si>
    <t>Mala experiencia de usuario</t>
  </si>
  <si>
    <t xml:space="preserve">Optimización en diseño </t>
  </si>
  <si>
    <t>Diseño responsivo</t>
  </si>
  <si>
    <t>Testing en móviles</t>
  </si>
  <si>
    <t>Mitigar (Compatibilidad)</t>
  </si>
  <si>
    <t>Implementar pruebas cross-device y frameworks responsivos</t>
  </si>
  <si>
    <t>Reporte QA</t>
  </si>
  <si>
    <t>Asegurar compatibilidad con dispositivos móviles</t>
  </si>
  <si>
    <t>Suma de .4</t>
  </si>
  <si>
    <t>Grand Total</t>
  </si>
  <si>
    <t>CategoriaPrioridad</t>
  </si>
  <si>
    <t>Promedio de .</t>
  </si>
  <si>
    <t>Cuenta de 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</si>
</sst>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>
      <b/>
      <sz val="16.0"/>
      <color rgb="FF1F497D"/>
      <name val="Calibri"/>
    </font>
    <font>
      <b/>
      <i/>
      <sz val="24.0"/>
      <color theme="1"/>
      <name val="Calibri"/>
    </font>
    <font>
      <sz val="11.0"/>
      <color theme="0"/>
      <name val="Calibri"/>
    </font>
    <font>
      <b/>
      <sz val="11.0"/>
      <color theme="1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sz val="11.0"/>
      <color rgb="FF404040"/>
      <name val="Calibri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C6EFCE"/>
        <bgColor rgb="FFC6EFCE"/>
      </patternFill>
    </fill>
    <fill>
      <patternFill patternType="solid">
        <fgColor rgb="FFF0F4F9"/>
        <bgColor rgb="FFF0F4F9"/>
      </patternFill>
    </fill>
    <fill>
      <patternFill patternType="solid">
        <fgColor rgb="FFB7E1CD"/>
        <bgColor rgb="FFB7E1CD"/>
      </patternFill>
    </fill>
  </fills>
  <borders count="25">
    <border/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3" numFmtId="0" xfId="0" applyBorder="1" applyFill="1" applyFont="1"/>
    <xf borderId="1" fillId="3" fontId="2" numFmtId="0" xfId="0" applyBorder="1" applyFont="1"/>
    <xf borderId="1" fillId="4" fontId="4" numFmtId="0" xfId="0" applyBorder="1" applyFill="1" applyFont="1"/>
    <xf borderId="1" fillId="4" fontId="2" numFmtId="0" xfId="0" applyBorder="1" applyFont="1"/>
    <xf borderId="2" fillId="2" fontId="4" numFmtId="0" xfId="0" applyBorder="1" applyFont="1"/>
    <xf borderId="3" fillId="2" fontId="2" numFmtId="0" xfId="0" applyBorder="1" applyFont="1"/>
    <xf borderId="4" fillId="2" fontId="5" numFmtId="0" xfId="0" applyBorder="1" applyFont="1"/>
    <xf borderId="3" fillId="2" fontId="5" numFmtId="0" xfId="0" applyBorder="1" applyFont="1"/>
    <xf borderId="5" fillId="0" fontId="2" numFmtId="0" xfId="0" applyBorder="1" applyFont="1"/>
    <xf borderId="6" fillId="2" fontId="2" numFmtId="0" xfId="0" applyBorder="1" applyFont="1"/>
    <xf borderId="7" fillId="2" fontId="4" numFmtId="0" xfId="0" applyBorder="1" applyFont="1"/>
    <xf borderId="8" fillId="2" fontId="2" numFmtId="0" xfId="0" applyBorder="1" applyFont="1"/>
    <xf borderId="8" fillId="0" fontId="2" numFmtId="0" xfId="0" applyBorder="1" applyFont="1"/>
    <xf borderId="9" fillId="2" fontId="2" numFmtId="0" xfId="0" applyBorder="1" applyFont="1"/>
    <xf borderId="10" fillId="5" fontId="6" numFmtId="0" xfId="0" applyAlignment="1" applyBorder="1" applyFill="1" applyFont="1">
      <alignment horizontal="center"/>
    </xf>
    <xf borderId="11" fillId="5" fontId="6" numFmtId="0" xfId="0" applyAlignment="1" applyBorder="1" applyFont="1">
      <alignment horizontal="center"/>
    </xf>
    <xf borderId="12" fillId="5" fontId="6" numFmtId="0" xfId="0" applyAlignment="1" applyBorder="1" applyFont="1">
      <alignment horizontal="center"/>
    </xf>
    <xf borderId="13" fillId="5" fontId="6" numFmtId="0" xfId="0" applyAlignment="1" applyBorder="1" applyFont="1">
      <alignment horizontal="center"/>
    </xf>
    <xf borderId="14" fillId="5" fontId="6" numFmtId="0" xfId="0" applyAlignment="1" applyBorder="1" applyFont="1">
      <alignment horizontal="center"/>
    </xf>
    <xf borderId="15" fillId="0" fontId="7" numFmtId="0" xfId="0" applyBorder="1" applyFont="1"/>
    <xf borderId="16" fillId="5" fontId="6" numFmtId="0" xfId="0" applyAlignment="1" applyBorder="1" applyFont="1">
      <alignment horizontal="center"/>
    </xf>
    <xf borderId="17" fillId="5" fontId="6" numFmtId="0" xfId="0" applyAlignment="1" applyBorder="1" applyFont="1">
      <alignment horizontal="center"/>
    </xf>
    <xf borderId="18" fillId="0" fontId="7" numFmtId="0" xfId="0" applyBorder="1" applyFont="1"/>
    <xf borderId="19" fillId="5" fontId="6" numFmtId="0" xfId="0" applyAlignment="1" applyBorder="1" applyFont="1">
      <alignment horizontal="center"/>
    </xf>
    <xf borderId="20" fillId="5" fontId="6" numFmtId="0" xfId="0" applyAlignment="1" applyBorder="1" applyFont="1">
      <alignment horizontal="center"/>
    </xf>
    <xf borderId="16" fillId="5" fontId="8" numFmtId="0" xfId="0" applyBorder="1" applyFont="1"/>
    <xf borderId="21" fillId="5" fontId="6" numFmtId="0" xfId="0" applyAlignment="1" applyBorder="1" applyFont="1">
      <alignment horizontal="center"/>
    </xf>
    <xf borderId="9" fillId="5" fontId="6" numFmtId="0" xfId="0" applyAlignment="1" applyBorder="1" applyFont="1">
      <alignment horizontal="center"/>
    </xf>
    <xf borderId="1" fillId="6" fontId="2" numFmtId="0" xfId="0" applyBorder="1" applyFill="1" applyFont="1"/>
    <xf borderId="12" fillId="7" fontId="6" numFmtId="0" xfId="0" applyAlignment="1" applyBorder="1" applyFill="1" applyFont="1">
      <alignment horizontal="center" vertical="center"/>
    </xf>
    <xf borderId="12" fillId="7" fontId="6" numFmtId="0" xfId="0" applyAlignment="1" applyBorder="1" applyFont="1">
      <alignment horizontal="center"/>
    </xf>
    <xf borderId="12" fillId="8" fontId="6" numFmtId="0" xfId="0" applyAlignment="1" applyBorder="1" applyFill="1" applyFont="1">
      <alignment horizontal="center"/>
    </xf>
    <xf borderId="12" fillId="9" fontId="6" numFmtId="0" xfId="0" applyAlignment="1" applyBorder="1" applyFill="1" applyFont="1">
      <alignment horizontal="center"/>
    </xf>
    <xf borderId="12" fillId="10" fontId="6" numFmtId="0" xfId="0" applyAlignment="1" applyBorder="1" applyFill="1" applyFont="1">
      <alignment horizontal="center"/>
    </xf>
    <xf borderId="12" fillId="11" fontId="6" numFmtId="0" xfId="0" applyAlignment="1" applyBorder="1" applyFill="1" applyFont="1">
      <alignment horizontal="center"/>
    </xf>
    <xf borderId="12" fillId="12" fontId="6" numFmtId="0" xfId="0" applyAlignment="1" applyBorder="1" applyFill="1" applyFont="1">
      <alignment horizontal="center"/>
    </xf>
    <xf borderId="16" fillId="6" fontId="6" numFmtId="0" xfId="0" applyAlignment="1" applyBorder="1" applyFont="1">
      <alignment horizontal="center"/>
    </xf>
    <xf borderId="19" fillId="7" fontId="6" numFmtId="0" xfId="0" applyAlignment="1" applyBorder="1" applyFont="1">
      <alignment horizontal="center"/>
    </xf>
    <xf borderId="20" fillId="7" fontId="6" numFmtId="0" xfId="0" applyAlignment="1" applyBorder="1" applyFont="1">
      <alignment horizontal="center"/>
    </xf>
    <xf borderId="16" fillId="7" fontId="8" numFmtId="0" xfId="0" applyBorder="1" applyFont="1"/>
    <xf borderId="16" fillId="7" fontId="6" numFmtId="0" xfId="0" applyAlignment="1" applyBorder="1" applyFont="1">
      <alignment horizontal="center"/>
    </xf>
    <xf borderId="22" fillId="7" fontId="2" numFmtId="0" xfId="0" applyBorder="1" applyFont="1"/>
    <xf borderId="23" fillId="7" fontId="2" numFmtId="0" xfId="0" applyBorder="1" applyFont="1"/>
    <xf borderId="0" fillId="0" fontId="2" numFmtId="0" xfId="0" applyFont="1"/>
    <xf borderId="16" fillId="0" fontId="2" numFmtId="0" xfId="0" applyAlignment="1" applyBorder="1" applyFont="1">
      <alignment horizontal="center" vertical="center"/>
    </xf>
    <xf borderId="16" fillId="0" fontId="2" numFmtId="0" xfId="0" applyBorder="1" applyFont="1"/>
    <xf borderId="16" fillId="6" fontId="2" numFmtId="0" xfId="0" applyAlignment="1" applyBorder="1" applyFont="1">
      <alignment shrinkToFit="0" vertical="center" wrapText="1"/>
    </xf>
    <xf borderId="16" fillId="13" fontId="2" numFmtId="0" xfId="0" applyBorder="1" applyFill="1" applyFont="1"/>
    <xf borderId="24" fillId="6" fontId="2" numFmtId="0" xfId="0" applyBorder="1" applyFont="1"/>
    <xf borderId="16" fillId="6" fontId="2" numFmtId="0" xfId="0" applyBorder="1" applyFont="1"/>
    <xf borderId="16" fillId="6" fontId="2" numFmtId="0" xfId="0" applyAlignment="1" applyBorder="1" applyFont="1">
      <alignment horizontal="center" vertical="center"/>
    </xf>
    <xf borderId="24" fillId="2" fontId="2" numFmtId="0" xfId="0" applyBorder="1" applyFont="1"/>
    <xf borderId="16" fillId="14" fontId="9" numFmtId="0" xfId="0" applyBorder="1" applyFill="1" applyFont="1"/>
    <xf borderId="24" fillId="15" fontId="2" numFmtId="0" xfId="0" applyBorder="1" applyFill="1" applyFont="1"/>
    <xf borderId="16" fillId="2" fontId="2" numFmtId="0" xfId="0" applyBorder="1" applyFont="1"/>
    <xf borderId="16" fillId="2" fontId="10" numFmtId="0" xfId="0" applyBorder="1" applyFont="1"/>
    <xf borderId="15" fillId="0" fontId="2" numFmtId="0" xfId="0" applyBorder="1" applyFont="1"/>
    <xf borderId="1" fillId="2" fontId="9" numFmtId="0" xfId="0" applyAlignment="1" applyBorder="1" applyFont="1">
      <alignment horizontal="right"/>
    </xf>
    <xf borderId="1" fillId="2" fontId="9" numFmtId="0" xfId="0" applyBorder="1" applyFont="1"/>
    <xf borderId="0" fillId="0" fontId="6" numFmtId="0" xfId="0" applyAlignment="1" applyFont="1">
      <alignment horizontal="center"/>
    </xf>
    <xf borderId="0" fillId="0" fontId="11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Priorizacion!$A$4:$A$44</c:f>
            </c:strRef>
          </c:cat>
          <c:val>
            <c:numRef>
              <c:f>Priorizacion!$B$4:$B$44</c:f>
              <c:numCache/>
            </c:numRef>
          </c:val>
        </c:ser>
        <c:overlap val="100"/>
        <c:axId val="492906438"/>
        <c:axId val="984069944"/>
      </c:barChart>
      <c:catAx>
        <c:axId val="4929064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84069944"/>
      </c:catAx>
      <c:valAx>
        <c:axId val="9840699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92906438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CategoriaPrioridad!$A$4:$A$44</c:f>
            </c:strRef>
          </c:cat>
          <c:val>
            <c:numRef>
              <c:f>CategoriaPrioridad!$B$4:$B$44</c:f>
              <c:numCache/>
            </c:numRef>
          </c:val>
        </c:ser>
        <c:axId val="71464307"/>
        <c:axId val="1231222931"/>
      </c:barChart>
      <c:catAx>
        <c:axId val="71464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231222931"/>
      </c:catAx>
      <c:valAx>
        <c:axId val="1231222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7146430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PrioridadTotalRiesgoo!$B$3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FF0000"/>
              </a:solidFill>
            </c:spPr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PrioridadTotalRiesgoo!$A$4:$A$10</c:f>
            </c:strRef>
          </c:cat>
          <c:val>
            <c:numRef>
              <c:f>PrioridadTotalRiesgoo!$B$4:$B$10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PromedioDeRiesgosLatentes!$A$4:$A$44</c:f>
            </c:strRef>
          </c:cat>
          <c:val>
            <c:numRef>
              <c:f>PromedioDeRiesgosLatentes!$B$4:$B$44</c:f>
              <c:numCache/>
            </c:numRef>
          </c:val>
        </c:ser>
        <c:axId val="1633796236"/>
        <c:axId val="164423259"/>
      </c:barChart>
      <c:catAx>
        <c:axId val="16337962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423259"/>
      </c:catAx>
      <c:valAx>
        <c:axId val="1644232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3796236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'Amenaza Total RIESGOx'!$B$3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FF0000"/>
              </a:solidFill>
            </c:spPr>
          </c:dPt>
          <c:dPt>
            <c:idx val="6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'Amenaza Total RIESGOx'!$A$4:$A$10</c:f>
            </c:strRef>
          </c:cat>
          <c:val>
            <c:numRef>
              <c:f>'Amenaza Total RIESGOx'!$B$4:$B$10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'Actividad y control TotALl'!$A$4:$A$7</c:f>
            </c:strRef>
          </c:cat>
          <c:val>
            <c:numRef>
              <c:f>'Actividad y control TotALl'!$B$4:$B$7</c:f>
              <c:numCache/>
            </c:numRef>
          </c:val>
        </c:ser>
        <c:axId val="763162517"/>
        <c:axId val="1988829316"/>
      </c:barChart>
      <c:catAx>
        <c:axId val="763162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8829316"/>
      </c:catAx>
      <c:valAx>
        <c:axId val="1988829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316251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2</xdr:row>
      <xdr:rowOff>47625</xdr:rowOff>
    </xdr:from>
    <xdr:ext cx="13544550" cy="8096250"/>
    <xdr:graphicFrame>
      <xdr:nvGraphicFramePr>
        <xdr:cNvPr id="195004578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4</xdr:row>
      <xdr:rowOff>171450</xdr:rowOff>
    </xdr:from>
    <xdr:ext cx="7639050" cy="6200775"/>
    <xdr:graphicFrame>
      <xdr:nvGraphicFramePr>
        <xdr:cNvPr id="94643099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0</xdr:row>
      <xdr:rowOff>114300</xdr:rowOff>
    </xdr:from>
    <xdr:ext cx="5200650" cy="5791200"/>
    <xdr:graphicFrame>
      <xdr:nvGraphicFramePr>
        <xdr:cNvPr id="127919021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3</xdr:row>
      <xdr:rowOff>28575</xdr:rowOff>
    </xdr:from>
    <xdr:ext cx="7877175" cy="8077200"/>
    <xdr:graphicFrame>
      <xdr:nvGraphicFramePr>
        <xdr:cNvPr id="70576308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1</xdr:row>
      <xdr:rowOff>66675</xdr:rowOff>
    </xdr:from>
    <xdr:ext cx="6305550" cy="4867275"/>
    <xdr:graphicFrame>
      <xdr:nvGraphicFramePr>
        <xdr:cNvPr id="595268239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1</xdr:row>
      <xdr:rowOff>66675</xdr:rowOff>
    </xdr:from>
    <xdr:ext cx="13506450" cy="11096625"/>
    <xdr:graphicFrame>
      <xdr:nvGraphicFramePr>
        <xdr:cNvPr id="580754307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Q45" sheet="Registro de Riesgos"/>
  </cacheSource>
  <cacheFields>
    <cacheField name="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</sharedItems>
    </cacheField>
    <cacheField name="Descripcion del Riesgo " numFmtId="0">
      <sharedItems>
        <s v="Fallo en la integración con aerolíneas"/>
        <s v="Caída del sistema en horas pico"/>
        <s v="Pérdida de datos de usuarios"/>
        <s v="Fuga de información confidencial"/>
        <s v="Vulnerabilidades en escritorio admin"/>
        <s v="Integración fallida con pasarela de pago"/>
        <s v="Incompatibilidad en navegadores"/>
        <s v="Retrasos en generación de reportes"/>
        <s v="Fallo en backup automático"/>
        <s v="Pérdida de conexión con base de datos"/>
        <s v="Estafas a usuarios en pagos externos"/>
        <s v="Costos de infraestructura elevados"/>
        <s v="Incumplimiento de pago de convenios"/>
        <s v="Caída de ingresos por baja demanda"/>
        <s v="Riesgo de tipo de cambio"/>
        <s v="Incumplimiento normativo de transporte"/>
        <s v="Multas por incumplir protección de datos"/>
        <s v="Riesgo en licencias de software"/>
        <s v="Restricciones migratorias de países"/>
        <s v="Poca adopción de usuarios"/>
        <s v="Competencia fuerte en el mercado"/>
        <s v="Baja visibilidad de marca"/>
        <s v="Falta de alianzas con hoteles"/>
        <s v="Pérdida de usuarios por mala reputación"/>
        <s v="Retrasos en convenios con buses"/>
        <s v="Cancelación de vuelos"/>
        <s v="Huelgas de transporte"/>
        <s v="Retraso en entregas de buses"/>
        <s v="Rotación de personal clave"/>
        <s v="Riesgo en documentación del proyecto"/>
        <s v="Fallo en autenticación de usuarios"/>
        <s v="Latencia alta en consultas a la base de datos"/>
        <s v="Pérdida de sincronización entre sistemas externos"/>
        <s v="Fallo en sistema de notificaciones al cliente"/>
        <s v="Errores en actualizaciones automáticas del escritorio admin"/>
        <s v="Fallo en inicio de sesión web"/>
        <s v="Caída del sistema de pagos online"/>
        <s v="Ataques de phishing a usuarios"/>
        <s v="Fallo en despliegue de actualizaciones web"/>
        <s v="Incompatibilidad en dispositivos "/>
      </sharedItems>
    </cacheField>
    <cacheField name=" tipo de riesgo " numFmtId="0">
      <sharedItems>
        <s v="Riesgo Tecnológico"/>
        <s v="Riesgo de Financiero "/>
        <s v="Riesgo Regulatorio"/>
        <s v="Riesgo Estrategico"/>
        <s v="Riesgo Logistico"/>
        <s v="Riesgo Operacional"/>
      </sharedItems>
    </cacheField>
    <cacheField name=".2" numFmtId="0">
      <sharedItems>
        <s v="APIs externas no disponibles"/>
        <s v="Sobrecarga de usuarios"/>
        <s v="Ataques cibernéticos"/>
        <s v="Acceso indebido de empleados"/>
        <s v="Software desactualizado"/>
        <s v="Cambios en APIs externas"/>
        <s v="Diferentes versiones de clientes"/>
        <s v="Sobrecarga en consultas"/>
        <s v="Configuración incorrecta"/>
        <s v="Fallo de servidor"/>
        <s v="Pasarela de pago no segura"/>
        <s v="Mal dimensionamiento"/>
        <s v="Empresas asociadas incumplen"/>
        <s v="Crisis económica"/>
        <s v="Variaciones monetarias"/>
        <s v="Cambios en regulaciones locales"/>
        <s v="No cumplir Ley 19.628 (Chile)"/>
        <s v="Uso de librerías sin licencia"/>
        <s v="Políticas de visado"/>
        <s v="Plataforma poco intuitiva"/>
        <s v="Nuevos competidores"/>
        <s v="Falta de marketing digital"/>
        <s v="Negociaciones no exitosas"/>
        <s v="Malas reseñas online"/>
        <s v="Negociaciones largas"/>
        <s v="Problemas climáticos"/>
        <s v="Conflictos laborales"/>
        <s v="Problemas de flota"/>
        <s v="Desmotivación / sobrecarga"/>
        <s v="Entregables incompletos"/>
        <s v="Mala implementación de OAuth / SSO"/>
        <s v="Consultas SQL mal optimizadas"/>
        <s v="Integración deficiente con APIs de buses o aerolíneas"/>
        <s v="Errores en servidores de mensajería (email, SMS, push)"/>
        <s v="Parches incompatibles / falta de QA"/>
        <s v="Errores en autenticación (JWT/OAuth)"/>
        <s v="Interrupción pasarela de pago"/>
        <s v="Enlaces falsos imitando la web oficial"/>
        <s v="Errores en CI/CD al subir nuevas versiones"/>
        <s v="Diferentes resoluciones/navegadores "/>
      </sharedItems>
    </cacheField>
    <cacheField name="Amenaza" numFmtId="0">
      <sharedItems>
        <s v="Presupuestaria"/>
        <s v="Rentabilidad"/>
        <s v="Continuidad operativa"/>
        <s v="Interrupción de servicios"/>
        <s v="Falta de medidas de protección y concienciación del usuario"/>
        <s v="Seguridad cibernética"/>
        <s v="Cumplimiento de plazos"/>
        <s v="Dependencia externa"/>
        <s v="Capacidad interna"/>
        <s v="Competitiva"/>
        <s v="Adopción del mercado"/>
        <s v="Sobreexpansión"/>
        <s v="Comercial"/>
        <s v="Diversificación limitada"/>
        <s v="Cumplimiento regulatorio"/>
        <s v="Operativo"/>
        <s v="Económico"/>
        <s v="Ciberseguridad"/>
        <s v="Infraestructura"/>
        <s v="Mantenimiento"/>
        <s v="Usuarios no pueden acceder"/>
        <s v="Lentitud en el sistema"/>
        <s v="Información inconsistente"/>
        <s v="Usuarios no reciben información clave"/>
        <s v="Caída de la aplicación administrativa"/>
        <s v="Usuarios no pueden ingresar"/>
        <s v="Usuarios no completan compras"/>
        <s v="Robo de credenciales"/>
        <s v="Interrupción del servicio web"/>
        <s v="Mala experiencia de usuario"/>
      </sharedItems>
    </cacheField>
    <cacheField name="Oportunidad" numFmtId="0">
      <sharedItems>
        <s v="Optimización de costos en infraestructura tecnológica"/>
        <s v="Rentabilidad mediante escalabilidad en la nube"/>
        <s v="Continuidad operativa garantizada con backups y cifrado"/>
        <s v="Interrupción mínima con gestión de accesos"/>
        <s v="Concienciación y cultura de ciberseguridad"/>
        <s v="Seguridad cibernética con proveedores alternativos"/>
        <s v="Cumplimiento de plazos con QA multiplataforma"/>
        <s v="Reducción de dependencia externa con optimización de BD"/>
        <s v="Mayor capacidad interna y resiliencia"/>
        <s v="Ventaja competitiva con redundancia"/>
        <s v="Adopción de mercado con confianza del cliente"/>
        <s v="Sobreexpansión controlada mediante escalabilidad"/>
        <s v="Oportunidad comercial con proveedores alternativos"/>
        <s v="Diversificación de ingresos"/>
        <s v="Cumplimiento regulatorio con coberturas"/>
        <s v="Operativo con adaptación temprana"/>
        <s v="Estabilidad económica con cumplimiento normativo"/>
        <s v="Operativo con control de licencias"/>
        <s v="Oportunidad comercial con asesoría de viajes"/>
        <s v="Comercial con mejoras en UX"/>
        <s v="Ciberseguridad como diferenciador"/>
        <s v="Infraestructura de marketing digital"/>
        <s v="Infraestructura con nuevos convenios"/>
        <s v="Diferenciación en ciberseguridad y servicio"/>
        <s v="Infraestructura con múltiples proveedores"/>
        <s v="Mantenimiento y seguros de viaje"/>
        <s v="Operativo con planes de contingencia"/>
        <s v="Operativo con empresas backup"/>
        <s v="Operativo con planes de retención"/>
        <s v="Operativo con control de versiones"/>
        <s v="Fortalecer seguridad con SSO robusto"/>
        <s v="Oportunidad de migrar a bases distribuidas"/>
        <s v="Mejorar middleware de integración"/>
        <s v="Implementar múltiples canales redundantes"/>
        <s v="Fortalecer proceso CI/CD y pruebas previas"/>
        <s v="Implementar login social (Google/Facebook)"/>
        <s v="Integrar múltiples proveedores de pago"/>
        <s v="Campañas educativas + detección de dominios falsos"/>
        <s v="Implementar rollback automático"/>
        <s v="Optimización en diseño "/>
      </sharedItems>
    </cacheField>
    <cacheField name=".3" numFmtId="0">
      <sharedItems>
        <s v="Operacional"/>
        <s v="Interno"/>
        <s v="Externo"/>
        <s v="Mercado"/>
      </sharedItems>
    </cacheField>
    <cacheField name="Alta" numFmtId="0">
      <sharedItems containsBlank="1">
        <m/>
        <s v="x"/>
      </sharedItems>
    </cacheField>
    <cacheField name="Media" numFmtId="0">
      <sharedItems containsBlank="1">
        <s v="x"/>
        <m/>
      </sharedItems>
    </cacheField>
    <cacheField name="Baja" numFmtId="0">
      <sharedItems containsBlank="1">
        <m/>
        <s v="x"/>
      </sharedItems>
    </cacheField>
    <cacheField name="alta2" numFmtId="0">
      <sharedItems containsBlank="1">
        <s v="x"/>
        <m/>
      </sharedItems>
    </cacheField>
    <cacheField name="media2" numFmtId="0">
      <sharedItems containsBlank="1">
        <m/>
        <s v="x"/>
      </sharedItems>
    </cacheField>
    <cacheField name="baja2" numFmtId="0">
      <sharedItems containsBlank="1">
        <m/>
        <s v="x"/>
      </sharedItems>
    </cacheField>
    <cacheField name=".4" numFmtId="0">
      <sharedItems containsSemiMixedTypes="0" containsString="0" containsNumber="1" containsInteger="1">
        <n v="150.0"/>
        <n v="200.0"/>
        <n v="75.0"/>
        <n v="100.0"/>
        <n v="125.0"/>
        <n v="50.0"/>
      </sharedItems>
    </cacheField>
    <cacheField name=".5" numFmtId="0">
      <sharedItems>
        <s v="Automático"/>
        <s v="Semi-Automática"/>
        <s v="Manual"/>
      </sharedItems>
    </cacheField>
    <cacheField name=".6" numFmtId="0">
      <sharedItems>
        <s v="Administrador de Infraestructura TI"/>
        <s v="Líder de Desarrollo de Software"/>
        <s v="Gerente de Tecnología (CTO)"/>
        <s v="CISO (Chief Information Security Officer)"/>
        <s v="Equipo de Seguridad Informática (SOC)"/>
        <s v="Director de Cumplimiento Legal"/>
        <s v="Abogado de Propiedad Intelectual"/>
        <s v="Director de Estrategia y Negocios"/>
        <s v="Líder de UX/UI"/>
        <s v="CFO (Chief Financial Officer)"/>
        <s v="Gerente de Operaciones Financieras"/>
        <s v="Oficial de Prevención de Fraude"/>
        <s v="Gerente de Innovación y Crecimiento"/>
        <s v="Analista de Seguridad"/>
        <s v="Gerente de Logística y Abastecimiento"/>
        <s v="Coordinador de Soporte Post-Venta"/>
        <s v="Jefe de Almacén y Control de Inventarios"/>
        <s v="Analista de Pricing y Estrategia Comercial"/>
        <s v="Gerente de Compras y Proveedores"/>
        <s v="Director de Innovación y Desarrollo"/>
        <s v="Administrador de Bases de Datos (DBA)"/>
        <s v="Ingeniero de Integraciones y Datos"/>
        <s v="Gerente de Infraestructura TI"/>
        <s v="Gerente de Desarrollo y Arquitectura"/>
      </sharedItems>
    </cacheField>
    <cacheField name=".7" numFmtId="0">
      <sharedItems>
        <s v="Lucas Ferrer"/>
        <s v="Valeria Montes"/>
        <s v="Javier Roldán"/>
        <s v="Martín Arce"/>
        <s v="Natalia Espinoza"/>
        <s v="Eduardo Salazar"/>
        <s v="Sofía Miranda"/>
        <s v="Ricardo Valdivia"/>
        <s v="Camila Olguín"/>
        <s v="Fernando Estévez"/>
        <s v="Paula Núñez"/>
        <s v="Diego Larralde"/>
        <s v="Elena Fuentes"/>
        <s v="Marcos Ibarra"/>
        <s v="Andrea Serrano"/>
        <s v="Gabriel Quintana"/>
        <s v="Hernán Duarte"/>
        <s v="Claudia Bermúdez"/>
        <s v="Santiago Lira"/>
        <s v="Diana Sepúlveda"/>
        <s v="Federico Alonso"/>
        <s v="Luciana Vidal"/>
        <s v="Matías Herrera"/>
        <s v="Lorena Castill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iorizacion" cacheId="0" dataCaption="" compact="0" compactData="0">
  <location ref="A3:B44" firstHeaderRow="0" firstDataRow="1" firstDataCol="0"/>
  <pivotFields>
    <pivotField name="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scripcion del Riesgo " axis="axisRow" compact="0" outline="0" multipleItemSelectionAllowed="1" showAll="0" sortType="ascending">
      <items>
        <item x="37"/>
        <item x="21"/>
        <item x="13"/>
        <item x="36"/>
        <item x="1"/>
        <item x="25"/>
        <item x="20"/>
        <item x="11"/>
        <item x="34"/>
        <item x="10"/>
        <item x="30"/>
        <item x="8"/>
        <item x="38"/>
        <item x="35"/>
        <item x="0"/>
        <item x="33"/>
        <item x="22"/>
        <item x="3"/>
        <item x="26"/>
        <item x="39"/>
        <item x="6"/>
        <item x="12"/>
        <item x="15"/>
        <item x="5"/>
        <item x="31"/>
        <item x="16"/>
        <item x="9"/>
        <item x="2"/>
        <item x="32"/>
        <item x="23"/>
        <item x="19"/>
        <item x="18"/>
        <item x="27"/>
        <item x="24"/>
        <item x="7"/>
        <item x="14"/>
        <item x="29"/>
        <item x="17"/>
        <item x="28"/>
        <item x="4"/>
        <item t="default"/>
      </items>
    </pivotField>
    <pivotField name=" tipo de riesgo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.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mena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port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.3" compact="0" outline="0" multipleItemSelectionAllowed="1" showAll="0">
      <items>
        <item x="0"/>
        <item x="1"/>
        <item x="2"/>
        <item x="3"/>
        <item t="default"/>
      </items>
    </pivotField>
    <pivotField name="Alta" compact="0" outline="0" multipleItemSelectionAllowed="1" showAll="0">
      <items>
        <item x="0"/>
        <item x="1"/>
        <item t="default"/>
      </items>
    </pivotField>
    <pivotField name="Media" compact="0" outline="0" multipleItemSelectionAllowed="1" showAll="0">
      <items>
        <item x="0"/>
        <item x="1"/>
        <item t="default"/>
      </items>
    </pivotField>
    <pivotField name="Baja" compact="0" outline="0" multipleItemSelectionAllowed="1" showAll="0">
      <items>
        <item x="0"/>
        <item x="1"/>
        <item t="default"/>
      </items>
    </pivotField>
    <pivotField name="alta2" compact="0" outline="0" multipleItemSelectionAllowed="1" showAll="0">
      <items>
        <item x="0"/>
        <item x="1"/>
        <item t="default"/>
      </items>
    </pivotField>
    <pivotField name="media2" compact="0" outline="0" multipleItemSelectionAllowed="1" showAll="0">
      <items>
        <item x="0"/>
        <item x="1"/>
        <item t="default"/>
      </items>
    </pivotField>
    <pivotField name="baja2" compact="0" outline="0" multipleItemSelectionAllowed="1" showAll="0">
      <items>
        <item x="0"/>
        <item x="1"/>
        <item t="default"/>
      </items>
    </pivotField>
    <pivotField name=".4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.5" compact="0" outline="0" multipleItemSelectionAllowed="1" showAll="0">
      <items>
        <item x="0"/>
        <item x="1"/>
        <item x="2"/>
        <item t="default"/>
      </items>
    </pivotField>
    <pivotField name=".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.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1"/>
  </rowFields>
  <dataFields>
    <dataField name="Suma de .4" fld="13" baseField="0"/>
  </dataFields>
</pivotTableDefinition>
</file>

<file path=xl/pivotTables/pivotTable2.xml><?xml version="1.0" encoding="utf-8"?>
<pivotTableDefinition xmlns="http://schemas.openxmlformats.org/spreadsheetml/2006/main" name="CategoriaPrioridad" cacheId="0" dataCaption="" compact="0" compactData="0">
  <location ref="A3:B44" firstHeaderRow="0" firstDataRow="1" firstDataCol="0"/>
  <pivotFields>
    <pivotField name="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scripcion del Riesgo " axis="axisRow" compact="0" outline="0" multipleItemSelectionAllowed="1" showAll="0" sortType="ascending">
      <items>
        <item x="37"/>
        <item x="21"/>
        <item x="13"/>
        <item x="36"/>
        <item x="1"/>
        <item x="25"/>
        <item x="20"/>
        <item x="11"/>
        <item x="34"/>
        <item x="10"/>
        <item x="30"/>
        <item x="8"/>
        <item x="38"/>
        <item x="35"/>
        <item x="0"/>
        <item x="33"/>
        <item x="22"/>
        <item x="3"/>
        <item x="26"/>
        <item x="39"/>
        <item x="6"/>
        <item x="12"/>
        <item x="15"/>
        <item x="5"/>
        <item x="31"/>
        <item x="16"/>
        <item x="9"/>
        <item x="2"/>
        <item x="32"/>
        <item x="23"/>
        <item x="19"/>
        <item x="18"/>
        <item x="27"/>
        <item x="24"/>
        <item x="7"/>
        <item x="14"/>
        <item x="29"/>
        <item x="17"/>
        <item x="28"/>
        <item x="4"/>
        <item t="default"/>
      </items>
    </pivotField>
    <pivotField name=" tipo de riesgo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.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mena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port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.3" compact="0" outline="0" multipleItemSelectionAllowed="1" showAll="0">
      <items>
        <item x="0"/>
        <item x="1"/>
        <item x="2"/>
        <item x="3"/>
        <item t="default"/>
      </items>
    </pivotField>
    <pivotField name="Alta" compact="0" outline="0" multipleItemSelectionAllowed="1" showAll="0">
      <items>
        <item x="0"/>
        <item x="1"/>
        <item t="default"/>
      </items>
    </pivotField>
    <pivotField name="Media" compact="0" outline="0" multipleItemSelectionAllowed="1" showAll="0">
      <items>
        <item x="0"/>
        <item x="1"/>
        <item t="default"/>
      </items>
    </pivotField>
    <pivotField name="Baja" compact="0" outline="0" multipleItemSelectionAllowed="1" showAll="0">
      <items>
        <item x="0"/>
        <item x="1"/>
        <item t="default"/>
      </items>
    </pivotField>
    <pivotField name="alta2" compact="0" outline="0" multipleItemSelectionAllowed="1" showAll="0">
      <items>
        <item x="0"/>
        <item x="1"/>
        <item t="default"/>
      </items>
    </pivotField>
    <pivotField name="media2" compact="0" outline="0" multipleItemSelectionAllowed="1" showAll="0">
      <items>
        <item x="0"/>
        <item x="1"/>
        <item t="default"/>
      </items>
    </pivotField>
    <pivotField name="baja2" compact="0" outline="0" multipleItemSelectionAllowed="1" showAll="0">
      <items>
        <item x="0"/>
        <item x="1"/>
        <item t="default"/>
      </items>
    </pivotField>
    <pivotField name=".4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.5" compact="0" outline="0" multipleItemSelectionAllowed="1" showAll="0">
      <items>
        <item x="0"/>
        <item x="1"/>
        <item x="2"/>
        <item t="default"/>
      </items>
    </pivotField>
    <pivotField name=".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.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1"/>
  </rowFields>
  <dataFields>
    <dataField name="CategoriaPrioridad" fld="13" baseField="0"/>
  </dataFields>
</pivotTableDefinition>
</file>

<file path=xl/pivotTables/pivotTable3.xml><?xml version="1.0" encoding="utf-8"?>
<pivotTableDefinition xmlns="http://schemas.openxmlformats.org/spreadsheetml/2006/main" name="PrioridadTotalRiesgoo" cacheId="0" dataCaption="" compact="0" compactData="0">
  <location ref="A3:B10" firstHeaderRow="0" firstDataRow="1" firstDataCol="0"/>
  <pivotFields>
    <pivotField name="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scripcion del Riesg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 tipo de riesgo " axis="axisRow" compact="0" outline="0" multipleItemSelectionAllowed="1" showAll="0" sortType="ascending">
      <items>
        <item x="1"/>
        <item x="3"/>
        <item x="4"/>
        <item x="5"/>
        <item x="2"/>
        <item x="0"/>
        <item t="default"/>
      </items>
    </pivotField>
    <pivotField name=".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mena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port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.3" compact="0" outline="0" multipleItemSelectionAllowed="1" showAll="0">
      <items>
        <item x="0"/>
        <item x="1"/>
        <item x="2"/>
        <item x="3"/>
        <item t="default"/>
      </items>
    </pivotField>
    <pivotField name="Alta" compact="0" outline="0" multipleItemSelectionAllowed="1" showAll="0">
      <items>
        <item x="0"/>
        <item x="1"/>
        <item t="default"/>
      </items>
    </pivotField>
    <pivotField name="Media" compact="0" outline="0" multipleItemSelectionAllowed="1" showAll="0">
      <items>
        <item x="0"/>
        <item x="1"/>
        <item t="default"/>
      </items>
    </pivotField>
    <pivotField name="Baja" compact="0" outline="0" multipleItemSelectionAllowed="1" showAll="0">
      <items>
        <item x="0"/>
        <item x="1"/>
        <item t="default"/>
      </items>
    </pivotField>
    <pivotField name="alta2" compact="0" outline="0" multipleItemSelectionAllowed="1" showAll="0">
      <items>
        <item x="0"/>
        <item x="1"/>
        <item t="default"/>
      </items>
    </pivotField>
    <pivotField name="media2" compact="0" outline="0" multipleItemSelectionAllowed="1" showAll="0">
      <items>
        <item x="0"/>
        <item x="1"/>
        <item t="default"/>
      </items>
    </pivotField>
    <pivotField name="baja2" compact="0" outline="0" multipleItemSelectionAllowed="1" showAll="0">
      <items>
        <item x="0"/>
        <item x="1"/>
        <item t="default"/>
      </items>
    </pivotField>
    <pivotField name=".4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.5" compact="0" outline="0" multipleItemSelectionAllowed="1" showAll="0">
      <items>
        <item x="0"/>
        <item x="1"/>
        <item x="2"/>
        <item t="default"/>
      </items>
    </pivotField>
    <pivotField name=".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.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2"/>
  </rowFields>
  <dataFields>
    <dataField name="Suma de .4" fld="13" baseField="0"/>
  </dataFields>
</pivotTableDefinition>
</file>

<file path=xl/pivotTables/pivotTable4.xml><?xml version="1.0" encoding="utf-8"?>
<pivotTableDefinition xmlns="http://schemas.openxmlformats.org/spreadsheetml/2006/main" name="PromedioDeRiesgosLatentes" cacheId="0" dataCaption="" compact="0" compactData="0">
  <location ref="A3:B44" firstHeaderRow="0" firstDataRow="1" firstDataCol="0"/>
  <pivotFields>
    <pivotField name="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scripcion del Riesgo " axis="axisRow" compact="0" outline="0" multipleItemSelectionAllowed="1" showAll="0" sortType="ascending">
      <items>
        <item x="37"/>
        <item x="21"/>
        <item x="13"/>
        <item x="36"/>
        <item x="1"/>
        <item x="25"/>
        <item x="20"/>
        <item x="11"/>
        <item x="34"/>
        <item x="10"/>
        <item x="30"/>
        <item x="8"/>
        <item x="38"/>
        <item x="35"/>
        <item x="0"/>
        <item x="33"/>
        <item x="22"/>
        <item x="3"/>
        <item x="26"/>
        <item x="39"/>
        <item x="6"/>
        <item x="12"/>
        <item x="15"/>
        <item x="5"/>
        <item x="31"/>
        <item x="16"/>
        <item x="9"/>
        <item x="2"/>
        <item x="32"/>
        <item x="23"/>
        <item x="19"/>
        <item x="18"/>
        <item x="27"/>
        <item x="24"/>
        <item x="7"/>
        <item x="14"/>
        <item x="29"/>
        <item x="17"/>
        <item x="28"/>
        <item x="4"/>
        <item t="default"/>
      </items>
    </pivotField>
    <pivotField name=" tipo de riesgo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.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mena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port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.3" compact="0" outline="0" multipleItemSelectionAllowed="1" showAll="0">
      <items>
        <item x="0"/>
        <item x="1"/>
        <item x="2"/>
        <item x="3"/>
        <item t="default"/>
      </items>
    </pivotField>
    <pivotField name="Alta" compact="0" outline="0" multipleItemSelectionAllowed="1" showAll="0">
      <items>
        <item x="0"/>
        <item x="1"/>
        <item t="default"/>
      </items>
    </pivotField>
    <pivotField name="Media" compact="0" outline="0" multipleItemSelectionAllowed="1" showAll="0">
      <items>
        <item x="0"/>
        <item x="1"/>
        <item t="default"/>
      </items>
    </pivotField>
    <pivotField name="Baja" compact="0" outline="0" multipleItemSelectionAllowed="1" showAll="0">
      <items>
        <item x="0"/>
        <item x="1"/>
        <item t="default"/>
      </items>
    </pivotField>
    <pivotField name="alta2" compact="0" outline="0" multipleItemSelectionAllowed="1" showAll="0">
      <items>
        <item x="0"/>
        <item x="1"/>
        <item t="default"/>
      </items>
    </pivotField>
    <pivotField name="media2" compact="0" outline="0" multipleItemSelectionAllowed="1" showAll="0">
      <items>
        <item x="0"/>
        <item x="1"/>
        <item t="default"/>
      </items>
    </pivotField>
    <pivotField name="baja2" compact="0" outline="0" multipleItemSelectionAllowed="1" showAll="0">
      <items>
        <item x="0"/>
        <item x="1"/>
        <item t="default"/>
      </items>
    </pivotField>
    <pivotField name=".4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.5" compact="0" outline="0" multipleItemSelectionAllowed="1" showAll="0">
      <items>
        <item x="0"/>
        <item x="1"/>
        <item x="2"/>
        <item t="default"/>
      </items>
    </pivotField>
    <pivotField name=".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.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1"/>
  </rowFields>
  <dataFields>
    <dataField name="Promedio de ." fld="0" subtotal="average" baseField="0"/>
  </dataFields>
</pivotTableDefinition>
</file>

<file path=xl/pivotTables/pivotTable5.xml><?xml version="1.0" encoding="utf-8"?>
<pivotTableDefinition xmlns="http://schemas.openxmlformats.org/spreadsheetml/2006/main" name="Amenaza Total RIESGOx" cacheId="0" dataCaption="" compact="0" compactData="0">
  <location ref="A3:B10" firstHeaderRow="0" firstDataRow="1" firstDataCol="0"/>
  <pivotFields>
    <pivotField name="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scripcion del Riesg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 tipo de riesgo " axis="axisRow" compact="0" outline="0" multipleItemSelectionAllowed="1" showAll="0" sortType="ascending">
      <items>
        <item x="1"/>
        <item x="3"/>
        <item x="4"/>
        <item x="5"/>
        <item x="2"/>
        <item x="0"/>
        <item t="default"/>
      </items>
    </pivotField>
    <pivotField name=".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mena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port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.3" dataField="1" compact="0" outline="0" multipleItemSelectionAllowed="1" showAll="0">
      <items>
        <item x="0"/>
        <item x="1"/>
        <item x="2"/>
        <item x="3"/>
        <item t="default"/>
      </items>
    </pivotField>
    <pivotField name="Alta" compact="0" outline="0" multipleItemSelectionAllowed="1" showAll="0">
      <items>
        <item x="0"/>
        <item x="1"/>
        <item t="default"/>
      </items>
    </pivotField>
    <pivotField name="Media" compact="0" outline="0" multipleItemSelectionAllowed="1" showAll="0">
      <items>
        <item x="0"/>
        <item x="1"/>
        <item t="default"/>
      </items>
    </pivotField>
    <pivotField name="Baja" compact="0" outline="0" multipleItemSelectionAllowed="1" showAll="0">
      <items>
        <item x="0"/>
        <item x="1"/>
        <item t="default"/>
      </items>
    </pivotField>
    <pivotField name="alta2" compact="0" outline="0" multipleItemSelectionAllowed="1" showAll="0">
      <items>
        <item x="0"/>
        <item x="1"/>
        <item t="default"/>
      </items>
    </pivotField>
    <pivotField name="media2" compact="0" outline="0" multipleItemSelectionAllowed="1" showAll="0">
      <items>
        <item x="0"/>
        <item x="1"/>
        <item t="default"/>
      </items>
    </pivotField>
    <pivotField name="baja2" compact="0" outline="0" multipleItemSelectionAllowed="1" showAll="0">
      <items>
        <item x="0"/>
        <item x="1"/>
        <item t="default"/>
      </items>
    </pivotField>
    <pivotField name=".4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.5" compact="0" outline="0" multipleItemSelectionAllowed="1" showAll="0">
      <items>
        <item x="0"/>
        <item x="1"/>
        <item x="2"/>
        <item t="default"/>
      </items>
    </pivotField>
    <pivotField name=".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.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2"/>
  </rowFields>
  <dataFields>
    <dataField name="Cuenta de .3" fld="6" subtotal="count" baseField="0"/>
  </dataFields>
</pivotTableDefinition>
</file>

<file path=xl/pivotTables/pivotTable6.xml><?xml version="1.0" encoding="utf-8"?>
<pivotTableDefinition xmlns="http://schemas.openxmlformats.org/spreadsheetml/2006/main" name="Actividad y control TotALl" cacheId="0" dataCaption="" compact="0" compactData="0">
  <location ref="A3:B7" firstHeaderRow="0" firstDataRow="1" firstDataCol="0"/>
  <pivotFields>
    <pivotField name="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scripcion del Riesg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 tipo de riesgo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.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Amena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portun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.3" compact="0" outline="0" multipleItemSelectionAllowed="1" showAll="0">
      <items>
        <item x="0"/>
        <item x="1"/>
        <item x="2"/>
        <item x="3"/>
        <item t="default"/>
      </items>
    </pivotField>
    <pivotField name="Alta" compact="0" outline="0" multipleItemSelectionAllowed="1" showAll="0">
      <items>
        <item x="0"/>
        <item x="1"/>
        <item t="default"/>
      </items>
    </pivotField>
    <pivotField name="Media" compact="0" outline="0" multipleItemSelectionAllowed="1" showAll="0">
      <items>
        <item x="0"/>
        <item x="1"/>
        <item t="default"/>
      </items>
    </pivotField>
    <pivotField name="Baja" compact="0" outline="0" multipleItemSelectionAllowed="1" showAll="0">
      <items>
        <item x="0"/>
        <item x="1"/>
        <item t="default"/>
      </items>
    </pivotField>
    <pivotField name="alta2" compact="0" outline="0" multipleItemSelectionAllowed="1" showAll="0">
      <items>
        <item x="0"/>
        <item x="1"/>
        <item t="default"/>
      </items>
    </pivotField>
    <pivotField name="media2" compact="0" outline="0" multipleItemSelectionAllowed="1" showAll="0">
      <items>
        <item x="0"/>
        <item x="1"/>
        <item t="default"/>
      </items>
    </pivotField>
    <pivotField name="baja2" compact="0" outline="0" multipleItemSelectionAllowed="1" showAll="0">
      <items>
        <item x="0"/>
        <item x="1"/>
        <item t="default"/>
      </items>
    </pivotField>
    <pivotField name=".4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.5" axis="axisRow" compact="0" outline="0" multipleItemSelectionAllowed="1" showAll="0" sortType="ascending">
      <items>
        <item x="0"/>
        <item x="2"/>
        <item x="1"/>
        <item t="default"/>
      </items>
    </pivotField>
    <pivotField name=".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.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14"/>
  </rowFields>
  <dataFields>
    <dataField name="Suma de .4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60.29"/>
    <col customWidth="1" min="3" max="3" width="23.29"/>
    <col customWidth="1" min="4" max="4" width="79.71"/>
    <col customWidth="1" min="5" max="5" width="39.43"/>
    <col customWidth="1" min="6" max="6" width="48.86"/>
    <col customWidth="1" min="7" max="7" width="29.71"/>
    <col customWidth="1" min="8" max="8" width="7.57"/>
    <col customWidth="1" min="9" max="9" width="8.29"/>
    <col customWidth="1" min="10" max="10" width="6.71"/>
    <col customWidth="1" min="11" max="11" width="8.43"/>
    <col customWidth="1" min="12" max="12" width="7.29"/>
    <col customWidth="1" min="13" max="13" width="5.43"/>
    <col customWidth="1" min="14" max="14" width="15.57"/>
    <col customWidth="1" min="15" max="15" width="21.86"/>
    <col customWidth="1" min="16" max="16" width="41.71"/>
    <col customWidth="1" min="17" max="17" width="37.86"/>
    <col customWidth="1" min="18" max="18" width="76.71"/>
    <col customWidth="1" min="19" max="19" width="47.86"/>
    <col customWidth="1" min="20" max="20" width="73.86"/>
    <col customWidth="1" min="21" max="21" width="76.29"/>
    <col customWidth="1" min="22" max="22" width="75.0"/>
    <col customWidth="1" min="23" max="23" width="55.29"/>
    <col customWidth="1" min="24" max="24" width="27.14"/>
    <col customWidth="1" min="25" max="25" width="102.71"/>
    <col customWidth="1" min="26" max="26" width="34.86"/>
    <col customWidth="1" min="27" max="30" width="10.0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1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5"/>
      <c r="S2" s="6"/>
      <c r="T2" s="6"/>
      <c r="U2" s="6"/>
      <c r="V2" s="6"/>
      <c r="W2" s="6"/>
      <c r="X2" s="2"/>
      <c r="Y2" s="2"/>
      <c r="Z2" s="2"/>
      <c r="AA2" s="2"/>
      <c r="AB2" s="2"/>
      <c r="AC2" s="2"/>
      <c r="AD2" s="2"/>
    </row>
    <row r="3">
      <c r="A3" s="7" t="s">
        <v>2</v>
      </c>
      <c r="B3" s="8"/>
      <c r="C3" s="8"/>
      <c r="D3" s="8"/>
      <c r="E3" s="8"/>
      <c r="F3" s="8"/>
      <c r="G3" s="8"/>
      <c r="H3" s="9"/>
      <c r="I3" s="10"/>
      <c r="J3" s="8"/>
      <c r="K3" s="8"/>
      <c r="L3" s="8"/>
      <c r="M3" s="8"/>
      <c r="N3" s="8"/>
      <c r="O3" s="11"/>
      <c r="P3" s="8"/>
      <c r="Q3" s="12"/>
      <c r="R3" s="13" t="s">
        <v>3</v>
      </c>
      <c r="S3" s="14"/>
      <c r="T3" s="14"/>
      <c r="U3" s="15"/>
      <c r="V3" s="14"/>
      <c r="W3" s="16"/>
      <c r="X3" s="8"/>
      <c r="Y3" s="12"/>
      <c r="Z3" s="2"/>
      <c r="AA3" s="2"/>
      <c r="AB3" s="2"/>
      <c r="AC3" s="2"/>
      <c r="AD3" s="2"/>
    </row>
    <row r="4">
      <c r="A4" s="17" t="s">
        <v>4</v>
      </c>
      <c r="B4" s="18" t="s">
        <v>5</v>
      </c>
      <c r="C4" s="19" t="s">
        <v>5</v>
      </c>
      <c r="D4" s="20" t="s">
        <v>6</v>
      </c>
      <c r="E4" s="21" t="s">
        <v>7</v>
      </c>
      <c r="F4" s="22"/>
      <c r="G4" s="23" t="s">
        <v>8</v>
      </c>
      <c r="H4" s="24" t="s">
        <v>9</v>
      </c>
      <c r="I4" s="25"/>
      <c r="J4" s="22"/>
      <c r="K4" s="21" t="s">
        <v>10</v>
      </c>
      <c r="L4" s="25"/>
      <c r="M4" s="22"/>
      <c r="N4" s="23" t="s">
        <v>11</v>
      </c>
      <c r="O4" s="23" t="s">
        <v>12</v>
      </c>
      <c r="P4" s="23" t="s">
        <v>13</v>
      </c>
      <c r="Q4" s="26" t="s">
        <v>14</v>
      </c>
      <c r="R4" s="27" t="s">
        <v>15</v>
      </c>
      <c r="S4" s="28" t="s">
        <v>16</v>
      </c>
      <c r="T4" s="23" t="s">
        <v>17</v>
      </c>
      <c r="U4" s="23" t="s">
        <v>18</v>
      </c>
      <c r="V4" s="23" t="s">
        <v>19</v>
      </c>
      <c r="W4" s="26" t="s">
        <v>20</v>
      </c>
      <c r="X4" s="29" t="s">
        <v>21</v>
      </c>
      <c r="Y4" s="30" t="s">
        <v>22</v>
      </c>
      <c r="Z4" s="31"/>
      <c r="AA4" s="31"/>
      <c r="AB4" s="2"/>
      <c r="AC4" s="2"/>
      <c r="AD4" s="2"/>
    </row>
    <row r="5">
      <c r="A5" s="32" t="s">
        <v>5</v>
      </c>
      <c r="B5" s="19" t="s">
        <v>23</v>
      </c>
      <c r="C5" s="19" t="s">
        <v>24</v>
      </c>
      <c r="D5" s="33" t="s">
        <v>5</v>
      </c>
      <c r="E5" s="33" t="s">
        <v>25</v>
      </c>
      <c r="F5" s="33" t="s">
        <v>26</v>
      </c>
      <c r="G5" s="33" t="s">
        <v>5</v>
      </c>
      <c r="H5" s="34" t="s">
        <v>27</v>
      </c>
      <c r="I5" s="35" t="s">
        <v>28</v>
      </c>
      <c r="J5" s="36" t="s">
        <v>29</v>
      </c>
      <c r="K5" s="34" t="s">
        <v>27</v>
      </c>
      <c r="L5" s="37" t="s">
        <v>28</v>
      </c>
      <c r="M5" s="36" t="s">
        <v>29</v>
      </c>
      <c r="N5" s="38" t="s">
        <v>5</v>
      </c>
      <c r="O5" s="39" t="s">
        <v>5</v>
      </c>
      <c r="P5" s="39" t="s">
        <v>5</v>
      </c>
      <c r="Q5" s="40" t="s">
        <v>5</v>
      </c>
      <c r="R5" s="41"/>
      <c r="S5" s="42"/>
      <c r="T5" s="43"/>
      <c r="U5" s="43"/>
      <c r="V5" s="43"/>
      <c r="W5" s="40"/>
      <c r="X5" s="44"/>
      <c r="Y5" s="45"/>
      <c r="Z5" s="31"/>
      <c r="AA5" s="31"/>
      <c r="AB5" s="46"/>
      <c r="AC5" s="46"/>
      <c r="AD5" s="46"/>
    </row>
    <row r="6">
      <c r="A6" s="47">
        <v>1.0</v>
      </c>
      <c r="B6" s="48" t="s">
        <v>30</v>
      </c>
      <c r="C6" s="48" t="s">
        <v>31</v>
      </c>
      <c r="D6" s="48" t="s">
        <v>32</v>
      </c>
      <c r="E6" s="49" t="s">
        <v>33</v>
      </c>
      <c r="F6" s="48" t="s">
        <v>34</v>
      </c>
      <c r="G6" s="48" t="s">
        <v>35</v>
      </c>
      <c r="H6" s="48"/>
      <c r="I6" s="48" t="s">
        <v>36</v>
      </c>
      <c r="J6" s="48"/>
      <c r="K6" s="48" t="s">
        <v>36</v>
      </c>
      <c r="L6" s="48"/>
      <c r="M6" s="48"/>
      <c r="N6" s="50">
        <f t="shared" ref="N6:N45" si="1">IF(H6="x",100,IF(I6="x",50,IF(J6="x",25,0))) + IF(K6="x",100,IF(L6="x",50,IF(M6="x",25,0)))</f>
        <v>150</v>
      </c>
      <c r="O6" s="51" t="s">
        <v>37</v>
      </c>
      <c r="P6" s="52" t="s">
        <v>38</v>
      </c>
      <c r="Q6" s="48" t="s">
        <v>39</v>
      </c>
      <c r="R6" s="48" t="s">
        <v>40</v>
      </c>
      <c r="S6" s="48" t="s">
        <v>41</v>
      </c>
      <c r="T6" s="48" t="s">
        <v>42</v>
      </c>
      <c r="U6" s="48" t="s">
        <v>43</v>
      </c>
      <c r="V6" s="48" t="s">
        <v>44</v>
      </c>
      <c r="W6" s="48" t="s">
        <v>45</v>
      </c>
      <c r="X6" s="48" t="s">
        <v>46</v>
      </c>
      <c r="Y6" s="48" t="s">
        <v>47</v>
      </c>
      <c r="Z6" s="31"/>
      <c r="AA6" s="31"/>
      <c r="AB6" s="2"/>
      <c r="AC6" s="2"/>
      <c r="AD6" s="2"/>
    </row>
    <row r="7">
      <c r="A7" s="47">
        <v>2.0</v>
      </c>
      <c r="B7" s="48" t="s">
        <v>48</v>
      </c>
      <c r="C7" s="48" t="s">
        <v>31</v>
      </c>
      <c r="D7" s="48" t="s">
        <v>49</v>
      </c>
      <c r="E7" s="49" t="s">
        <v>50</v>
      </c>
      <c r="F7" s="48" t="s">
        <v>51</v>
      </c>
      <c r="G7" s="48" t="s">
        <v>35</v>
      </c>
      <c r="H7" s="48" t="s">
        <v>36</v>
      </c>
      <c r="I7" s="48"/>
      <c r="J7" s="48"/>
      <c r="K7" s="48" t="s">
        <v>36</v>
      </c>
      <c r="L7" s="48"/>
      <c r="M7" s="48"/>
      <c r="N7" s="50">
        <f t="shared" si="1"/>
        <v>200</v>
      </c>
      <c r="O7" s="51" t="s">
        <v>52</v>
      </c>
      <c r="P7" s="52" t="s">
        <v>53</v>
      </c>
      <c r="Q7" s="48" t="s">
        <v>54</v>
      </c>
      <c r="R7" s="48" t="s">
        <v>55</v>
      </c>
      <c r="S7" s="48" t="s">
        <v>56</v>
      </c>
      <c r="T7" s="48" t="s">
        <v>57</v>
      </c>
      <c r="U7" s="48" t="s">
        <v>58</v>
      </c>
      <c r="V7" s="48" t="s">
        <v>59</v>
      </c>
      <c r="W7" s="48" t="s">
        <v>45</v>
      </c>
      <c r="X7" s="48" t="s">
        <v>46</v>
      </c>
      <c r="Y7" s="48" t="s">
        <v>60</v>
      </c>
      <c r="Z7" s="2"/>
      <c r="AA7" s="2"/>
      <c r="AB7" s="2"/>
      <c r="AC7" s="2"/>
      <c r="AD7" s="2"/>
    </row>
    <row r="8">
      <c r="A8" s="47">
        <v>3.0</v>
      </c>
      <c r="B8" s="48" t="s">
        <v>61</v>
      </c>
      <c r="C8" s="48" t="s">
        <v>31</v>
      </c>
      <c r="D8" s="48" t="s">
        <v>62</v>
      </c>
      <c r="E8" s="49" t="s">
        <v>63</v>
      </c>
      <c r="F8" s="48" t="s">
        <v>64</v>
      </c>
      <c r="G8" s="48" t="s">
        <v>35</v>
      </c>
      <c r="H8" s="48"/>
      <c r="I8" s="48" t="s">
        <v>36</v>
      </c>
      <c r="J8" s="48"/>
      <c r="K8" s="48" t="s">
        <v>36</v>
      </c>
      <c r="L8" s="48"/>
      <c r="M8" s="48"/>
      <c r="N8" s="50">
        <f t="shared" si="1"/>
        <v>150</v>
      </c>
      <c r="O8" s="51" t="s">
        <v>37</v>
      </c>
      <c r="P8" s="52" t="s">
        <v>65</v>
      </c>
      <c r="Q8" s="48" t="s">
        <v>66</v>
      </c>
      <c r="R8" s="48" t="s">
        <v>67</v>
      </c>
      <c r="S8" s="48" t="s">
        <v>68</v>
      </c>
      <c r="T8" s="48" t="s">
        <v>69</v>
      </c>
      <c r="U8" s="48" t="s">
        <v>70</v>
      </c>
      <c r="V8" s="48" t="s">
        <v>71</v>
      </c>
      <c r="W8" s="48" t="s">
        <v>72</v>
      </c>
      <c r="X8" s="48" t="s">
        <v>46</v>
      </c>
      <c r="Y8" s="48" t="s">
        <v>73</v>
      </c>
      <c r="Z8" s="2"/>
      <c r="AA8" s="2"/>
      <c r="AB8" s="2"/>
      <c r="AC8" s="2"/>
      <c r="AD8" s="2"/>
    </row>
    <row r="9">
      <c r="A9" s="47">
        <v>4.0</v>
      </c>
      <c r="B9" s="48" t="s">
        <v>74</v>
      </c>
      <c r="C9" s="48" t="s">
        <v>31</v>
      </c>
      <c r="D9" s="48" t="s">
        <v>75</v>
      </c>
      <c r="E9" s="49" t="s">
        <v>76</v>
      </c>
      <c r="F9" s="48" t="s">
        <v>77</v>
      </c>
      <c r="G9" s="48" t="s">
        <v>78</v>
      </c>
      <c r="H9" s="48"/>
      <c r="I9" s="48" t="s">
        <v>36</v>
      </c>
      <c r="J9" s="48"/>
      <c r="K9" s="48" t="s">
        <v>36</v>
      </c>
      <c r="L9" s="48"/>
      <c r="M9" s="48"/>
      <c r="N9" s="50">
        <f t="shared" si="1"/>
        <v>150</v>
      </c>
      <c r="O9" s="51" t="s">
        <v>37</v>
      </c>
      <c r="P9" s="52" t="s">
        <v>79</v>
      </c>
      <c r="Q9" s="48" t="s">
        <v>80</v>
      </c>
      <c r="R9" s="48" t="s">
        <v>81</v>
      </c>
      <c r="S9" s="48" t="s">
        <v>82</v>
      </c>
      <c r="T9" s="48" t="s">
        <v>83</v>
      </c>
      <c r="U9" s="48" t="s">
        <v>84</v>
      </c>
      <c r="V9" s="48" t="s">
        <v>85</v>
      </c>
      <c r="W9" s="48" t="s">
        <v>45</v>
      </c>
      <c r="X9" s="48" t="s">
        <v>46</v>
      </c>
      <c r="Y9" s="48" t="s">
        <v>86</v>
      </c>
      <c r="Z9" s="2"/>
      <c r="AA9" s="2"/>
      <c r="AB9" s="2"/>
      <c r="AC9" s="2"/>
      <c r="AD9" s="2"/>
    </row>
    <row r="10">
      <c r="A10" s="47">
        <v>5.0</v>
      </c>
      <c r="B10" s="48" t="s">
        <v>87</v>
      </c>
      <c r="C10" s="48" t="s">
        <v>31</v>
      </c>
      <c r="D10" s="48" t="s">
        <v>88</v>
      </c>
      <c r="E10" s="49" t="s">
        <v>89</v>
      </c>
      <c r="F10" s="48" t="s">
        <v>90</v>
      </c>
      <c r="G10" s="48" t="s">
        <v>78</v>
      </c>
      <c r="H10" s="48"/>
      <c r="I10" s="48"/>
      <c r="J10" s="48" t="s">
        <v>36</v>
      </c>
      <c r="K10" s="48"/>
      <c r="L10" s="48" t="s">
        <v>36</v>
      </c>
      <c r="M10" s="48"/>
      <c r="N10" s="50">
        <f t="shared" si="1"/>
        <v>75</v>
      </c>
      <c r="O10" s="51" t="s">
        <v>37</v>
      </c>
      <c r="P10" s="52" t="s">
        <v>91</v>
      </c>
      <c r="Q10" s="48" t="s">
        <v>92</v>
      </c>
      <c r="R10" s="48" t="s">
        <v>93</v>
      </c>
      <c r="S10" s="48" t="s">
        <v>94</v>
      </c>
      <c r="T10" s="48" t="s">
        <v>95</v>
      </c>
      <c r="U10" s="48" t="s">
        <v>96</v>
      </c>
      <c r="V10" s="48" t="s">
        <v>97</v>
      </c>
      <c r="W10" s="48" t="s">
        <v>98</v>
      </c>
      <c r="X10" s="48" t="s">
        <v>46</v>
      </c>
      <c r="Y10" s="48" t="s">
        <v>99</v>
      </c>
      <c r="Z10" s="2"/>
      <c r="AA10" s="2"/>
      <c r="AB10" s="2"/>
      <c r="AC10" s="2"/>
      <c r="AD10" s="2"/>
    </row>
    <row r="11">
      <c r="A11" s="47">
        <v>6.0</v>
      </c>
      <c r="B11" s="48" t="s">
        <v>100</v>
      </c>
      <c r="C11" s="48" t="s">
        <v>31</v>
      </c>
      <c r="D11" s="48" t="s">
        <v>101</v>
      </c>
      <c r="E11" s="49" t="s">
        <v>102</v>
      </c>
      <c r="F11" s="48" t="s">
        <v>103</v>
      </c>
      <c r="G11" s="48" t="s">
        <v>35</v>
      </c>
      <c r="H11" s="48"/>
      <c r="I11" s="48" t="s">
        <v>36</v>
      </c>
      <c r="J11" s="48"/>
      <c r="K11" s="48"/>
      <c r="L11" s="48" t="s">
        <v>36</v>
      </c>
      <c r="M11" s="48"/>
      <c r="N11" s="50">
        <f t="shared" si="1"/>
        <v>100</v>
      </c>
      <c r="O11" s="51" t="s">
        <v>52</v>
      </c>
      <c r="P11" s="52" t="s">
        <v>104</v>
      </c>
      <c r="Q11" s="48" t="s">
        <v>105</v>
      </c>
      <c r="R11" s="48" t="s">
        <v>106</v>
      </c>
      <c r="S11" s="48" t="s">
        <v>107</v>
      </c>
      <c r="T11" s="48" t="s">
        <v>108</v>
      </c>
      <c r="U11" s="48" t="s">
        <v>109</v>
      </c>
      <c r="V11" s="48" t="s">
        <v>110</v>
      </c>
      <c r="W11" s="48" t="s">
        <v>111</v>
      </c>
      <c r="X11" s="48" t="s">
        <v>46</v>
      </c>
      <c r="Y11" s="48" t="s">
        <v>112</v>
      </c>
      <c r="Z11" s="2"/>
      <c r="AA11" s="2"/>
      <c r="AB11" s="2"/>
      <c r="AC11" s="2"/>
      <c r="AD11" s="2"/>
    </row>
    <row r="12">
      <c r="A12" s="47">
        <v>7.0</v>
      </c>
      <c r="B12" s="48" t="s">
        <v>113</v>
      </c>
      <c r="C12" s="48" t="s">
        <v>31</v>
      </c>
      <c r="D12" s="48" t="s">
        <v>114</v>
      </c>
      <c r="E12" s="49" t="s">
        <v>115</v>
      </c>
      <c r="F12" s="48" t="s">
        <v>116</v>
      </c>
      <c r="G12" s="48" t="s">
        <v>117</v>
      </c>
      <c r="H12" s="48"/>
      <c r="I12" s="48" t="s">
        <v>36</v>
      </c>
      <c r="J12" s="48"/>
      <c r="K12" s="48"/>
      <c r="L12" s="48"/>
      <c r="M12" s="48" t="s">
        <v>36</v>
      </c>
      <c r="N12" s="50">
        <f t="shared" si="1"/>
        <v>75</v>
      </c>
      <c r="O12" s="51" t="s">
        <v>37</v>
      </c>
      <c r="P12" s="52" t="s">
        <v>118</v>
      </c>
      <c r="Q12" s="48" t="s">
        <v>119</v>
      </c>
      <c r="R12" s="48" t="s">
        <v>120</v>
      </c>
      <c r="S12" s="48" t="s">
        <v>121</v>
      </c>
      <c r="T12" s="48" t="s">
        <v>122</v>
      </c>
      <c r="U12" s="48" t="s">
        <v>123</v>
      </c>
      <c r="V12" s="48" t="s">
        <v>124</v>
      </c>
      <c r="W12" s="48" t="s">
        <v>125</v>
      </c>
      <c r="X12" s="48" t="s">
        <v>126</v>
      </c>
      <c r="Y12" s="48" t="s">
        <v>127</v>
      </c>
      <c r="Z12" s="2"/>
      <c r="AA12" s="2"/>
      <c r="AB12" s="2"/>
      <c r="AC12" s="2"/>
      <c r="AD12" s="2"/>
    </row>
    <row r="13">
      <c r="A13" s="47">
        <v>8.0</v>
      </c>
      <c r="B13" s="48" t="s">
        <v>128</v>
      </c>
      <c r="C13" s="48" t="s">
        <v>31</v>
      </c>
      <c r="D13" s="48" t="s">
        <v>129</v>
      </c>
      <c r="E13" s="49" t="s">
        <v>130</v>
      </c>
      <c r="F13" s="48" t="s">
        <v>131</v>
      </c>
      <c r="G13" s="48" t="s">
        <v>35</v>
      </c>
      <c r="H13" s="48"/>
      <c r="I13" s="48" t="s">
        <v>36</v>
      </c>
      <c r="J13" s="48"/>
      <c r="K13" s="48" t="s">
        <v>36</v>
      </c>
      <c r="L13" s="48"/>
      <c r="M13" s="48"/>
      <c r="N13" s="50">
        <f t="shared" si="1"/>
        <v>150</v>
      </c>
      <c r="O13" s="51" t="s">
        <v>132</v>
      </c>
      <c r="P13" s="52" t="s">
        <v>133</v>
      </c>
      <c r="Q13" s="48" t="s">
        <v>134</v>
      </c>
      <c r="R13" s="48" t="s">
        <v>135</v>
      </c>
      <c r="S13" s="48" t="s">
        <v>136</v>
      </c>
      <c r="T13" s="48" t="s">
        <v>137</v>
      </c>
      <c r="U13" s="48" t="s">
        <v>138</v>
      </c>
      <c r="V13" s="48" t="s">
        <v>139</v>
      </c>
      <c r="W13" s="48" t="s">
        <v>111</v>
      </c>
      <c r="X13" s="48" t="s">
        <v>46</v>
      </c>
      <c r="Y13" s="48" t="s">
        <v>140</v>
      </c>
      <c r="Z13" s="2"/>
      <c r="AA13" s="2"/>
      <c r="AB13" s="2"/>
      <c r="AC13" s="2"/>
      <c r="AD13" s="2"/>
    </row>
    <row r="14">
      <c r="A14" s="47">
        <v>9.0</v>
      </c>
      <c r="B14" s="48" t="s">
        <v>141</v>
      </c>
      <c r="C14" s="48" t="s">
        <v>31</v>
      </c>
      <c r="D14" s="48" t="s">
        <v>142</v>
      </c>
      <c r="E14" s="49" t="s">
        <v>143</v>
      </c>
      <c r="F14" s="48" t="s">
        <v>144</v>
      </c>
      <c r="G14" s="48" t="s">
        <v>78</v>
      </c>
      <c r="H14" s="48"/>
      <c r="I14" s="48"/>
      <c r="J14" s="48" t="s">
        <v>36</v>
      </c>
      <c r="K14" s="48"/>
      <c r="L14" s="48" t="s">
        <v>36</v>
      </c>
      <c r="M14" s="48"/>
      <c r="N14" s="50">
        <f t="shared" si="1"/>
        <v>75</v>
      </c>
      <c r="O14" s="51" t="s">
        <v>37</v>
      </c>
      <c r="P14" s="52" t="s">
        <v>145</v>
      </c>
      <c r="Q14" s="48" t="s">
        <v>146</v>
      </c>
      <c r="R14" s="48" t="s">
        <v>147</v>
      </c>
      <c r="S14" s="48" t="s">
        <v>148</v>
      </c>
      <c r="T14" s="48" t="s">
        <v>149</v>
      </c>
      <c r="U14" s="48" t="s">
        <v>150</v>
      </c>
      <c r="V14" s="48" t="s">
        <v>151</v>
      </c>
      <c r="W14" s="48" t="s">
        <v>72</v>
      </c>
      <c r="X14" s="48" t="s">
        <v>46</v>
      </c>
      <c r="Y14" s="48" t="s">
        <v>152</v>
      </c>
      <c r="Z14" s="2"/>
      <c r="AA14" s="2"/>
      <c r="AB14" s="2"/>
      <c r="AC14" s="2"/>
      <c r="AD14" s="2"/>
    </row>
    <row r="15">
      <c r="A15" s="47">
        <v>10.0</v>
      </c>
      <c r="B15" s="48" t="s">
        <v>153</v>
      </c>
      <c r="C15" s="48" t="s">
        <v>31</v>
      </c>
      <c r="D15" s="48" t="s">
        <v>154</v>
      </c>
      <c r="E15" s="49" t="s">
        <v>155</v>
      </c>
      <c r="F15" s="48" t="s">
        <v>156</v>
      </c>
      <c r="G15" s="48" t="s">
        <v>35</v>
      </c>
      <c r="H15" s="48"/>
      <c r="I15" s="48" t="s">
        <v>36</v>
      </c>
      <c r="J15" s="48"/>
      <c r="K15" s="48"/>
      <c r="L15" s="48" t="s">
        <v>36</v>
      </c>
      <c r="M15" s="48"/>
      <c r="N15" s="50">
        <f t="shared" si="1"/>
        <v>100</v>
      </c>
      <c r="O15" s="51" t="s">
        <v>132</v>
      </c>
      <c r="P15" s="52" t="s">
        <v>157</v>
      </c>
      <c r="Q15" s="48" t="s">
        <v>158</v>
      </c>
      <c r="R15" s="48" t="s">
        <v>159</v>
      </c>
      <c r="S15" s="48" t="s">
        <v>160</v>
      </c>
      <c r="T15" s="48" t="s">
        <v>161</v>
      </c>
      <c r="U15" s="48" t="s">
        <v>162</v>
      </c>
      <c r="V15" s="48" t="s">
        <v>163</v>
      </c>
      <c r="W15" s="48" t="s">
        <v>45</v>
      </c>
      <c r="X15" s="48" t="s">
        <v>126</v>
      </c>
      <c r="Y15" s="48" t="s">
        <v>164</v>
      </c>
      <c r="Z15" s="2"/>
      <c r="AA15" s="2"/>
      <c r="AB15" s="2"/>
      <c r="AC15" s="2"/>
      <c r="AD15" s="2"/>
    </row>
    <row r="16">
      <c r="A16" s="47">
        <v>11.0</v>
      </c>
      <c r="B16" s="48" t="s">
        <v>165</v>
      </c>
      <c r="C16" s="48" t="s">
        <v>166</v>
      </c>
      <c r="D16" s="48" t="s">
        <v>167</v>
      </c>
      <c r="E16" s="49" t="s">
        <v>168</v>
      </c>
      <c r="F16" s="48" t="s">
        <v>169</v>
      </c>
      <c r="G16" s="48" t="s">
        <v>117</v>
      </c>
      <c r="H16" s="48"/>
      <c r="I16" s="48"/>
      <c r="J16" s="48" t="s">
        <v>36</v>
      </c>
      <c r="K16" s="48"/>
      <c r="L16" s="48" t="s">
        <v>36</v>
      </c>
      <c r="M16" s="48"/>
      <c r="N16" s="50">
        <f t="shared" si="1"/>
        <v>75</v>
      </c>
      <c r="O16" s="51" t="s">
        <v>132</v>
      </c>
      <c r="P16" s="52" t="s">
        <v>170</v>
      </c>
      <c r="Q16" s="48" t="s">
        <v>171</v>
      </c>
      <c r="R16" s="48" t="s">
        <v>172</v>
      </c>
      <c r="S16" s="48" t="s">
        <v>173</v>
      </c>
      <c r="T16" s="48" t="s">
        <v>174</v>
      </c>
      <c r="U16" s="48" t="s">
        <v>175</v>
      </c>
      <c r="V16" s="48" t="s">
        <v>176</v>
      </c>
      <c r="W16" s="48" t="s">
        <v>98</v>
      </c>
      <c r="X16" s="48" t="s">
        <v>46</v>
      </c>
      <c r="Y16" s="48" t="s">
        <v>177</v>
      </c>
      <c r="Z16" s="2"/>
      <c r="AA16" s="2"/>
      <c r="AB16" s="2"/>
      <c r="AC16" s="2"/>
      <c r="AD16" s="2"/>
    </row>
    <row r="17" ht="24.0" customHeight="1">
      <c r="A17" s="53">
        <v>12.0</v>
      </c>
      <c r="B17" s="52" t="s">
        <v>178</v>
      </c>
      <c r="C17" s="48" t="s">
        <v>166</v>
      </c>
      <c r="D17" s="48" t="s">
        <v>179</v>
      </c>
      <c r="E17" s="49" t="s">
        <v>180</v>
      </c>
      <c r="F17" s="48" t="s">
        <v>181</v>
      </c>
      <c r="G17" s="48" t="s">
        <v>78</v>
      </c>
      <c r="H17" s="48"/>
      <c r="I17" s="48" t="s">
        <v>36</v>
      </c>
      <c r="J17" s="48"/>
      <c r="K17" s="48"/>
      <c r="L17" s="48" t="s">
        <v>36</v>
      </c>
      <c r="M17" s="48"/>
      <c r="N17" s="50">
        <f t="shared" si="1"/>
        <v>100</v>
      </c>
      <c r="O17" s="51" t="s">
        <v>37</v>
      </c>
      <c r="P17" s="52" t="s">
        <v>182</v>
      </c>
      <c r="Q17" s="48" t="s">
        <v>183</v>
      </c>
      <c r="R17" s="48" t="s">
        <v>184</v>
      </c>
      <c r="S17" s="48" t="s">
        <v>185</v>
      </c>
      <c r="T17" s="48" t="s">
        <v>186</v>
      </c>
      <c r="U17" s="48" t="s">
        <v>187</v>
      </c>
      <c r="V17" s="48" t="s">
        <v>188</v>
      </c>
      <c r="W17" s="48" t="s">
        <v>125</v>
      </c>
      <c r="X17" s="48" t="s">
        <v>46</v>
      </c>
      <c r="Y17" s="48" t="s">
        <v>189</v>
      </c>
      <c r="Z17" s="2"/>
      <c r="AA17" s="2"/>
      <c r="AB17" s="2"/>
      <c r="AC17" s="2"/>
      <c r="AD17" s="2"/>
    </row>
    <row r="18">
      <c r="A18" s="47">
        <v>13.0</v>
      </c>
      <c r="B18" s="48" t="s">
        <v>190</v>
      </c>
      <c r="C18" s="48" t="s">
        <v>166</v>
      </c>
      <c r="D18" s="48" t="s">
        <v>191</v>
      </c>
      <c r="E18" s="49" t="s">
        <v>192</v>
      </c>
      <c r="F18" s="48" t="s">
        <v>193</v>
      </c>
      <c r="G18" s="48" t="s">
        <v>117</v>
      </c>
      <c r="H18" s="48"/>
      <c r="I18" s="48" t="s">
        <v>36</v>
      </c>
      <c r="J18" s="48"/>
      <c r="K18" s="48"/>
      <c r="L18" s="48" t="s">
        <v>36</v>
      </c>
      <c r="M18" s="48"/>
      <c r="N18" s="50">
        <f t="shared" si="1"/>
        <v>100</v>
      </c>
      <c r="O18" s="51" t="s">
        <v>52</v>
      </c>
      <c r="P18" s="52" t="s">
        <v>194</v>
      </c>
      <c r="Q18" s="48" t="s">
        <v>195</v>
      </c>
      <c r="R18" s="48" t="s">
        <v>196</v>
      </c>
      <c r="S18" s="48" t="s">
        <v>197</v>
      </c>
      <c r="T18" s="48" t="s">
        <v>198</v>
      </c>
      <c r="U18" s="48" t="s">
        <v>199</v>
      </c>
      <c r="V18" s="48" t="s">
        <v>200</v>
      </c>
      <c r="W18" s="48" t="s">
        <v>111</v>
      </c>
      <c r="X18" s="48" t="s">
        <v>46</v>
      </c>
      <c r="Y18" s="48" t="s">
        <v>201</v>
      </c>
      <c r="Z18" s="2"/>
      <c r="AA18" s="2"/>
      <c r="AB18" s="2"/>
      <c r="AC18" s="2"/>
      <c r="AD18" s="2"/>
    </row>
    <row r="19">
      <c r="A19" s="47">
        <v>14.0</v>
      </c>
      <c r="B19" s="48" t="s">
        <v>202</v>
      </c>
      <c r="C19" s="48" t="s">
        <v>166</v>
      </c>
      <c r="D19" s="48" t="s">
        <v>203</v>
      </c>
      <c r="E19" s="49" t="s">
        <v>204</v>
      </c>
      <c r="F19" s="48" t="s">
        <v>205</v>
      </c>
      <c r="G19" s="48" t="s">
        <v>117</v>
      </c>
      <c r="H19" s="48"/>
      <c r="I19" s="48" t="s">
        <v>36</v>
      </c>
      <c r="J19" s="48"/>
      <c r="K19" s="48"/>
      <c r="L19" s="48" t="s">
        <v>36</v>
      </c>
      <c r="M19" s="48"/>
      <c r="N19" s="50">
        <f t="shared" si="1"/>
        <v>100</v>
      </c>
      <c r="O19" s="51" t="s">
        <v>52</v>
      </c>
      <c r="P19" s="52" t="s">
        <v>182</v>
      </c>
      <c r="Q19" s="48" t="s">
        <v>183</v>
      </c>
      <c r="R19" s="48" t="s">
        <v>205</v>
      </c>
      <c r="S19" s="48" t="s">
        <v>206</v>
      </c>
      <c r="T19" s="48" t="s">
        <v>207</v>
      </c>
      <c r="U19" s="48" t="s">
        <v>208</v>
      </c>
      <c r="V19" s="48" t="s">
        <v>209</v>
      </c>
      <c r="W19" s="48" t="s">
        <v>111</v>
      </c>
      <c r="X19" s="48" t="s">
        <v>26</v>
      </c>
      <c r="Y19" s="48" t="s">
        <v>210</v>
      </c>
      <c r="Z19" s="2"/>
      <c r="AA19" s="2"/>
      <c r="AB19" s="2"/>
      <c r="AC19" s="2"/>
      <c r="AD19" s="2"/>
    </row>
    <row r="20">
      <c r="A20" s="47">
        <v>15.0</v>
      </c>
      <c r="B20" s="48" t="s">
        <v>211</v>
      </c>
      <c r="C20" s="48" t="s">
        <v>166</v>
      </c>
      <c r="D20" s="48" t="s">
        <v>212</v>
      </c>
      <c r="E20" s="49" t="s">
        <v>213</v>
      </c>
      <c r="F20" s="48" t="s">
        <v>214</v>
      </c>
      <c r="G20" s="48" t="s">
        <v>117</v>
      </c>
      <c r="H20" s="48"/>
      <c r="I20" s="48"/>
      <c r="J20" s="48" t="s">
        <v>36</v>
      </c>
      <c r="K20" s="48" t="s">
        <v>36</v>
      </c>
      <c r="L20" s="48"/>
      <c r="M20" s="48"/>
      <c r="N20" s="50">
        <f t="shared" si="1"/>
        <v>125</v>
      </c>
      <c r="O20" s="51" t="s">
        <v>52</v>
      </c>
      <c r="P20" s="52" t="s">
        <v>215</v>
      </c>
      <c r="Q20" s="48" t="s">
        <v>216</v>
      </c>
      <c r="R20" s="48" t="s">
        <v>217</v>
      </c>
      <c r="S20" s="48" t="s">
        <v>218</v>
      </c>
      <c r="T20" s="48" t="s">
        <v>219</v>
      </c>
      <c r="U20" s="48" t="s">
        <v>220</v>
      </c>
      <c r="V20" s="48" t="s">
        <v>221</v>
      </c>
      <c r="W20" s="48" t="s">
        <v>45</v>
      </c>
      <c r="X20" s="48" t="s">
        <v>46</v>
      </c>
      <c r="Y20" s="48" t="s">
        <v>222</v>
      </c>
      <c r="Z20" s="2"/>
      <c r="AA20" s="2"/>
      <c r="AB20" s="2"/>
      <c r="AC20" s="2"/>
      <c r="AD20" s="2"/>
    </row>
    <row r="21">
      <c r="A21" s="47">
        <v>16.0</v>
      </c>
      <c r="B21" s="48" t="s">
        <v>223</v>
      </c>
      <c r="C21" s="48" t="s">
        <v>224</v>
      </c>
      <c r="D21" s="48" t="s">
        <v>225</v>
      </c>
      <c r="E21" s="49" t="s">
        <v>226</v>
      </c>
      <c r="F21" s="48" t="s">
        <v>227</v>
      </c>
      <c r="G21" s="48" t="s">
        <v>117</v>
      </c>
      <c r="H21" s="48"/>
      <c r="I21" s="48"/>
      <c r="J21" s="48" t="s">
        <v>36</v>
      </c>
      <c r="K21" s="48"/>
      <c r="L21" s="48"/>
      <c r="M21" s="48" t="s">
        <v>36</v>
      </c>
      <c r="N21" s="50">
        <f t="shared" si="1"/>
        <v>50</v>
      </c>
      <c r="O21" s="51" t="s">
        <v>37</v>
      </c>
      <c r="P21" s="52" t="s">
        <v>228</v>
      </c>
      <c r="Q21" s="48" t="s">
        <v>229</v>
      </c>
      <c r="R21" s="48" t="s">
        <v>230</v>
      </c>
      <c r="S21" s="48" t="s">
        <v>231</v>
      </c>
      <c r="T21" s="48" t="s">
        <v>232</v>
      </c>
      <c r="U21" s="48" t="s">
        <v>233</v>
      </c>
      <c r="V21" s="48" t="s">
        <v>234</v>
      </c>
      <c r="W21" s="48" t="s">
        <v>98</v>
      </c>
      <c r="X21" s="48" t="s">
        <v>46</v>
      </c>
      <c r="Y21" s="48" t="s">
        <v>235</v>
      </c>
      <c r="Z21" s="2"/>
      <c r="AA21" s="2"/>
      <c r="AB21" s="2"/>
      <c r="AC21" s="2"/>
      <c r="AD21" s="2"/>
    </row>
    <row r="22">
      <c r="A22" s="47">
        <v>17.0</v>
      </c>
      <c r="B22" s="48" t="s">
        <v>236</v>
      </c>
      <c r="C22" s="48" t="s">
        <v>224</v>
      </c>
      <c r="D22" s="48" t="s">
        <v>237</v>
      </c>
      <c r="E22" s="49" t="s">
        <v>238</v>
      </c>
      <c r="F22" s="48" t="s">
        <v>239</v>
      </c>
      <c r="G22" s="48" t="s">
        <v>117</v>
      </c>
      <c r="H22" s="48"/>
      <c r="I22" s="48"/>
      <c r="J22" s="48" t="s">
        <v>36</v>
      </c>
      <c r="K22" s="48"/>
      <c r="L22" s="48" t="s">
        <v>36</v>
      </c>
      <c r="M22" s="48"/>
      <c r="N22" s="50">
        <f t="shared" si="1"/>
        <v>75</v>
      </c>
      <c r="O22" s="54" t="s">
        <v>37</v>
      </c>
      <c r="P22" s="52" t="s">
        <v>240</v>
      </c>
      <c r="Q22" s="48" t="s">
        <v>241</v>
      </c>
      <c r="R22" s="48" t="s">
        <v>242</v>
      </c>
      <c r="S22" s="48" t="s">
        <v>243</v>
      </c>
      <c r="T22" s="48" t="s">
        <v>244</v>
      </c>
      <c r="U22" s="48" t="s">
        <v>245</v>
      </c>
      <c r="V22" s="48" t="s">
        <v>246</v>
      </c>
      <c r="W22" s="48" t="s">
        <v>247</v>
      </c>
      <c r="X22" s="48" t="s">
        <v>126</v>
      </c>
      <c r="Y22" s="48" t="s">
        <v>248</v>
      </c>
      <c r="Z22" s="2"/>
      <c r="AA22" s="2"/>
      <c r="AB22" s="2"/>
      <c r="AC22" s="2"/>
      <c r="AD22" s="2"/>
    </row>
    <row r="23">
      <c r="A23" s="47">
        <v>18.0</v>
      </c>
      <c r="B23" s="48" t="s">
        <v>249</v>
      </c>
      <c r="C23" s="48" t="s">
        <v>224</v>
      </c>
      <c r="D23" s="48" t="s">
        <v>250</v>
      </c>
      <c r="E23" s="49" t="s">
        <v>226</v>
      </c>
      <c r="F23" s="48" t="s">
        <v>251</v>
      </c>
      <c r="G23" s="48" t="s">
        <v>78</v>
      </c>
      <c r="H23" s="48"/>
      <c r="I23" s="48"/>
      <c r="J23" s="48" t="s">
        <v>36</v>
      </c>
      <c r="K23" s="48"/>
      <c r="L23" s="48"/>
      <c r="M23" s="48" t="s">
        <v>36</v>
      </c>
      <c r="N23" s="50">
        <f t="shared" si="1"/>
        <v>50</v>
      </c>
      <c r="O23" s="51" t="s">
        <v>52</v>
      </c>
      <c r="P23" s="55" t="s">
        <v>252</v>
      </c>
      <c r="Q23" s="48" t="s">
        <v>253</v>
      </c>
      <c r="R23" s="48" t="s">
        <v>254</v>
      </c>
      <c r="S23" s="48" t="s">
        <v>255</v>
      </c>
      <c r="T23" s="48" t="s">
        <v>256</v>
      </c>
      <c r="U23" s="48" t="s">
        <v>257</v>
      </c>
      <c r="V23" s="48" t="s">
        <v>258</v>
      </c>
      <c r="W23" s="48" t="s">
        <v>45</v>
      </c>
      <c r="X23" s="48" t="s">
        <v>46</v>
      </c>
      <c r="Y23" s="48" t="s">
        <v>259</v>
      </c>
      <c r="Z23" s="2"/>
      <c r="AA23" s="2"/>
      <c r="AB23" s="2"/>
      <c r="AC23" s="2"/>
      <c r="AD23" s="2"/>
    </row>
    <row r="24">
      <c r="A24" s="47">
        <v>19.0</v>
      </c>
      <c r="B24" s="48" t="s">
        <v>260</v>
      </c>
      <c r="C24" s="48" t="s">
        <v>224</v>
      </c>
      <c r="D24" s="48" t="s">
        <v>261</v>
      </c>
      <c r="E24" s="49" t="s">
        <v>192</v>
      </c>
      <c r="F24" s="48" t="s">
        <v>262</v>
      </c>
      <c r="G24" s="48" t="s">
        <v>117</v>
      </c>
      <c r="H24" s="48"/>
      <c r="I24" s="48" t="s">
        <v>36</v>
      </c>
      <c r="J24" s="48"/>
      <c r="K24" s="48"/>
      <c r="L24" s="48" t="s">
        <v>36</v>
      </c>
      <c r="M24" s="48"/>
      <c r="N24" s="50">
        <f t="shared" si="1"/>
        <v>100</v>
      </c>
      <c r="O24" s="51" t="s">
        <v>52</v>
      </c>
      <c r="P24" s="55" t="s">
        <v>263</v>
      </c>
      <c r="Q24" s="48" t="s">
        <v>264</v>
      </c>
      <c r="R24" s="48" t="s">
        <v>265</v>
      </c>
      <c r="S24" s="48" t="s">
        <v>266</v>
      </c>
      <c r="T24" s="48" t="s">
        <v>267</v>
      </c>
      <c r="U24" s="48" t="s">
        <v>268</v>
      </c>
      <c r="V24" s="48" t="s">
        <v>269</v>
      </c>
      <c r="W24" s="48" t="s">
        <v>98</v>
      </c>
      <c r="X24" s="48" t="s">
        <v>26</v>
      </c>
      <c r="Y24" s="48" t="s">
        <v>270</v>
      </c>
      <c r="Z24" s="2"/>
      <c r="AA24" s="2"/>
      <c r="AB24" s="2"/>
      <c r="AC24" s="2"/>
      <c r="AD24" s="2"/>
    </row>
    <row r="25">
      <c r="A25" s="47">
        <v>20.0</v>
      </c>
      <c r="B25" s="48" t="s">
        <v>271</v>
      </c>
      <c r="C25" s="48" t="s">
        <v>272</v>
      </c>
      <c r="D25" s="48" t="s">
        <v>273</v>
      </c>
      <c r="E25" s="49" t="s">
        <v>192</v>
      </c>
      <c r="F25" s="48" t="s">
        <v>274</v>
      </c>
      <c r="G25" s="48" t="s">
        <v>275</v>
      </c>
      <c r="H25" s="48"/>
      <c r="I25" s="48" t="s">
        <v>36</v>
      </c>
      <c r="J25" s="48"/>
      <c r="K25" s="48"/>
      <c r="L25" s="48" t="s">
        <v>36</v>
      </c>
      <c r="M25" s="48"/>
      <c r="N25" s="50">
        <f t="shared" si="1"/>
        <v>100</v>
      </c>
      <c r="O25" s="51" t="s">
        <v>52</v>
      </c>
      <c r="P25" s="55" t="s">
        <v>276</v>
      </c>
      <c r="Q25" s="48" t="s">
        <v>277</v>
      </c>
      <c r="R25" s="48" t="s">
        <v>278</v>
      </c>
      <c r="S25" s="48" t="s">
        <v>279</v>
      </c>
      <c r="T25" s="48" t="s">
        <v>280</v>
      </c>
      <c r="U25" s="48" t="s">
        <v>281</v>
      </c>
      <c r="V25" s="48" t="s">
        <v>282</v>
      </c>
      <c r="W25" s="48" t="s">
        <v>111</v>
      </c>
      <c r="X25" s="48" t="s">
        <v>46</v>
      </c>
      <c r="Y25" s="48" t="s">
        <v>283</v>
      </c>
      <c r="Z25" s="2"/>
      <c r="AA25" s="2"/>
      <c r="AB25" s="2"/>
      <c r="AC25" s="2"/>
      <c r="AD25" s="2"/>
    </row>
    <row r="26">
      <c r="A26" s="47">
        <v>21.0</v>
      </c>
      <c r="B26" s="48" t="s">
        <v>284</v>
      </c>
      <c r="C26" s="48" t="s">
        <v>272</v>
      </c>
      <c r="D26" s="48" t="s">
        <v>285</v>
      </c>
      <c r="E26" s="49" t="s">
        <v>286</v>
      </c>
      <c r="F26" s="48" t="s">
        <v>287</v>
      </c>
      <c r="G26" s="48" t="s">
        <v>117</v>
      </c>
      <c r="H26" s="48"/>
      <c r="I26" s="48" t="s">
        <v>36</v>
      </c>
      <c r="J26" s="48"/>
      <c r="K26" s="48"/>
      <c r="L26" s="48" t="s">
        <v>36</v>
      </c>
      <c r="M26" s="48"/>
      <c r="N26" s="50">
        <f t="shared" si="1"/>
        <v>100</v>
      </c>
      <c r="O26" s="51" t="s">
        <v>37</v>
      </c>
      <c r="P26" s="55" t="s">
        <v>240</v>
      </c>
      <c r="Q26" s="48" t="s">
        <v>241</v>
      </c>
      <c r="R26" s="48" t="s">
        <v>288</v>
      </c>
      <c r="S26" s="48" t="s">
        <v>289</v>
      </c>
      <c r="T26" s="48" t="s">
        <v>290</v>
      </c>
      <c r="U26" s="48" t="s">
        <v>291</v>
      </c>
      <c r="V26" s="48" t="s">
        <v>292</v>
      </c>
      <c r="W26" s="48" t="s">
        <v>72</v>
      </c>
      <c r="X26" s="48" t="s">
        <v>46</v>
      </c>
      <c r="Y26" s="48" t="s">
        <v>293</v>
      </c>
      <c r="Z26" s="2"/>
      <c r="AA26" s="2"/>
      <c r="AB26" s="2"/>
      <c r="AC26" s="2"/>
      <c r="AD26" s="2"/>
    </row>
    <row r="27">
      <c r="A27" s="47">
        <v>22.0</v>
      </c>
      <c r="B27" s="48" t="s">
        <v>294</v>
      </c>
      <c r="C27" s="48" t="s">
        <v>272</v>
      </c>
      <c r="D27" s="48" t="s">
        <v>295</v>
      </c>
      <c r="E27" s="49" t="s">
        <v>296</v>
      </c>
      <c r="F27" s="48" t="s">
        <v>297</v>
      </c>
      <c r="G27" s="48" t="s">
        <v>78</v>
      </c>
      <c r="H27" s="48"/>
      <c r="I27" s="48"/>
      <c r="J27" s="48" t="s">
        <v>36</v>
      </c>
      <c r="K27" s="48"/>
      <c r="L27" s="48" t="s">
        <v>36</v>
      </c>
      <c r="M27" s="48"/>
      <c r="N27" s="50">
        <f t="shared" si="1"/>
        <v>75</v>
      </c>
      <c r="O27" s="56" t="s">
        <v>37</v>
      </c>
      <c r="P27" s="55" t="s">
        <v>298</v>
      </c>
      <c r="Q27" s="48" t="s">
        <v>299</v>
      </c>
      <c r="R27" s="48" t="s">
        <v>110</v>
      </c>
      <c r="S27" s="48" t="s">
        <v>300</v>
      </c>
      <c r="T27" s="48" t="s">
        <v>301</v>
      </c>
      <c r="U27" s="48" t="s">
        <v>302</v>
      </c>
      <c r="V27" s="48" t="s">
        <v>303</v>
      </c>
      <c r="W27" s="48" t="s">
        <v>125</v>
      </c>
      <c r="X27" s="48" t="s">
        <v>46</v>
      </c>
      <c r="Y27" s="48" t="s">
        <v>304</v>
      </c>
      <c r="Z27" s="2"/>
      <c r="AA27" s="2"/>
      <c r="AB27" s="2"/>
      <c r="AC27" s="2"/>
      <c r="AD27" s="2"/>
    </row>
    <row r="28">
      <c r="A28" s="47">
        <v>23.0</v>
      </c>
      <c r="B28" s="48" t="s">
        <v>305</v>
      </c>
      <c r="C28" s="48" t="s">
        <v>272</v>
      </c>
      <c r="D28" s="48" t="s">
        <v>306</v>
      </c>
      <c r="E28" s="49" t="s">
        <v>296</v>
      </c>
      <c r="F28" s="48" t="s">
        <v>307</v>
      </c>
      <c r="G28" s="48" t="s">
        <v>117</v>
      </c>
      <c r="H28" s="48"/>
      <c r="I28" s="48"/>
      <c r="J28" s="48" t="s">
        <v>36</v>
      </c>
      <c r="K28" s="48"/>
      <c r="L28" s="48" t="s">
        <v>36</v>
      </c>
      <c r="M28" s="48"/>
      <c r="N28" s="50">
        <f t="shared" si="1"/>
        <v>75</v>
      </c>
      <c r="O28" s="51" t="s">
        <v>52</v>
      </c>
      <c r="P28" s="55" t="s">
        <v>308</v>
      </c>
      <c r="Q28" s="48" t="s">
        <v>309</v>
      </c>
      <c r="R28" s="48" t="s">
        <v>310</v>
      </c>
      <c r="S28" s="48" t="s">
        <v>311</v>
      </c>
      <c r="T28" s="48" t="s">
        <v>312</v>
      </c>
      <c r="U28" s="48" t="s">
        <v>313</v>
      </c>
      <c r="V28" s="48" t="s">
        <v>314</v>
      </c>
      <c r="W28" s="48" t="s">
        <v>98</v>
      </c>
      <c r="X28" s="48" t="s">
        <v>26</v>
      </c>
      <c r="Y28" s="48" t="s">
        <v>315</v>
      </c>
      <c r="Z28" s="2"/>
      <c r="AA28" s="2"/>
      <c r="AB28" s="2"/>
      <c r="AC28" s="2"/>
      <c r="AD28" s="2"/>
    </row>
    <row r="29">
      <c r="A29" s="47">
        <v>24.0</v>
      </c>
      <c r="B29" s="48" t="s">
        <v>316</v>
      </c>
      <c r="C29" s="48" t="s">
        <v>272</v>
      </c>
      <c r="D29" s="48" t="s">
        <v>317</v>
      </c>
      <c r="E29" s="49" t="s">
        <v>286</v>
      </c>
      <c r="F29" s="48" t="s">
        <v>318</v>
      </c>
      <c r="G29" s="48" t="s">
        <v>117</v>
      </c>
      <c r="H29" s="48"/>
      <c r="I29" s="48"/>
      <c r="J29" s="48" t="s">
        <v>36</v>
      </c>
      <c r="K29" s="48"/>
      <c r="L29" s="48"/>
      <c r="M29" s="48" t="s">
        <v>36</v>
      </c>
      <c r="N29" s="50">
        <f t="shared" si="1"/>
        <v>50</v>
      </c>
      <c r="O29" s="51" t="s">
        <v>37</v>
      </c>
      <c r="P29" s="55" t="s">
        <v>319</v>
      </c>
      <c r="Q29" s="48" t="s">
        <v>320</v>
      </c>
      <c r="R29" s="48" t="s">
        <v>321</v>
      </c>
      <c r="S29" s="48" t="s">
        <v>322</v>
      </c>
      <c r="T29" s="48" t="s">
        <v>323</v>
      </c>
      <c r="U29" s="48" t="s">
        <v>324</v>
      </c>
      <c r="V29" s="48" t="s">
        <v>325</v>
      </c>
      <c r="W29" s="48" t="s">
        <v>45</v>
      </c>
      <c r="X29" s="48" t="s">
        <v>46</v>
      </c>
      <c r="Y29" s="48" t="s">
        <v>326</v>
      </c>
      <c r="Z29" s="2"/>
      <c r="AA29" s="2"/>
      <c r="AB29" s="2"/>
      <c r="AC29" s="2"/>
      <c r="AD29" s="2"/>
    </row>
    <row r="30">
      <c r="A30" s="47">
        <v>25.0</v>
      </c>
      <c r="B30" s="48" t="s">
        <v>327</v>
      </c>
      <c r="C30" s="48" t="s">
        <v>328</v>
      </c>
      <c r="D30" s="48" t="s">
        <v>329</v>
      </c>
      <c r="E30" s="49" t="s">
        <v>296</v>
      </c>
      <c r="F30" s="48" t="s">
        <v>330</v>
      </c>
      <c r="G30" s="48" t="s">
        <v>117</v>
      </c>
      <c r="H30" s="48"/>
      <c r="I30" s="48" t="s">
        <v>36</v>
      </c>
      <c r="J30" s="48"/>
      <c r="K30" s="48"/>
      <c r="L30" s="48" t="s">
        <v>36</v>
      </c>
      <c r="M30" s="48"/>
      <c r="N30" s="50">
        <f t="shared" si="1"/>
        <v>100</v>
      </c>
      <c r="O30" s="51" t="s">
        <v>52</v>
      </c>
      <c r="P30" s="55" t="s">
        <v>331</v>
      </c>
      <c r="Q30" s="48" t="s">
        <v>332</v>
      </c>
      <c r="R30" s="48" t="s">
        <v>333</v>
      </c>
      <c r="S30" s="48" t="s">
        <v>334</v>
      </c>
      <c r="T30" s="48" t="s">
        <v>335</v>
      </c>
      <c r="U30" s="48" t="s">
        <v>336</v>
      </c>
      <c r="V30" s="48" t="s">
        <v>337</v>
      </c>
      <c r="W30" s="48" t="s">
        <v>247</v>
      </c>
      <c r="X30" s="48" t="s">
        <v>46</v>
      </c>
      <c r="Y30" s="48" t="s">
        <v>338</v>
      </c>
      <c r="Z30" s="2"/>
      <c r="AA30" s="2"/>
      <c r="AB30" s="2"/>
      <c r="AC30" s="2"/>
      <c r="AD30" s="2"/>
    </row>
    <row r="31">
      <c r="A31" s="47">
        <v>26.0</v>
      </c>
      <c r="B31" s="48" t="s">
        <v>339</v>
      </c>
      <c r="C31" s="48" t="s">
        <v>328</v>
      </c>
      <c r="D31" s="48" t="s">
        <v>340</v>
      </c>
      <c r="E31" s="49" t="s">
        <v>341</v>
      </c>
      <c r="F31" s="48" t="s">
        <v>342</v>
      </c>
      <c r="G31" s="48" t="s">
        <v>117</v>
      </c>
      <c r="H31" s="48" t="s">
        <v>36</v>
      </c>
      <c r="I31" s="48"/>
      <c r="J31" s="48"/>
      <c r="K31" s="48"/>
      <c r="L31" s="48"/>
      <c r="M31" s="48" t="s">
        <v>36</v>
      </c>
      <c r="N31" s="50">
        <f t="shared" si="1"/>
        <v>125</v>
      </c>
      <c r="O31" s="51" t="s">
        <v>52</v>
      </c>
      <c r="P31" s="55" t="s">
        <v>343</v>
      </c>
      <c r="Q31" s="48" t="s">
        <v>344</v>
      </c>
      <c r="R31" s="48" t="s">
        <v>345</v>
      </c>
      <c r="S31" s="48" t="s">
        <v>346</v>
      </c>
      <c r="T31" s="48" t="s">
        <v>347</v>
      </c>
      <c r="U31" s="48" t="s">
        <v>348</v>
      </c>
      <c r="V31" s="48" t="s">
        <v>349</v>
      </c>
      <c r="W31" s="48" t="s">
        <v>125</v>
      </c>
      <c r="X31" s="48" t="s">
        <v>46</v>
      </c>
      <c r="Y31" s="48" t="s">
        <v>350</v>
      </c>
      <c r="Z31" s="2"/>
      <c r="AA31" s="2"/>
      <c r="AB31" s="2"/>
      <c r="AC31" s="2"/>
      <c r="AD31" s="2"/>
    </row>
    <row r="32" ht="15.75" customHeight="1">
      <c r="A32" s="47">
        <v>27.0</v>
      </c>
      <c r="B32" s="57" t="s">
        <v>351</v>
      </c>
      <c r="C32" s="48" t="s">
        <v>328</v>
      </c>
      <c r="D32" s="48" t="s">
        <v>352</v>
      </c>
      <c r="E32" s="57" t="s">
        <v>226</v>
      </c>
      <c r="F32" s="48" t="s">
        <v>353</v>
      </c>
      <c r="G32" s="48" t="s">
        <v>117</v>
      </c>
      <c r="H32" s="48"/>
      <c r="I32" s="48"/>
      <c r="J32" s="48" t="s">
        <v>36</v>
      </c>
      <c r="K32" s="48" t="s">
        <v>36</v>
      </c>
      <c r="L32" s="48"/>
      <c r="M32" s="48"/>
      <c r="N32" s="50">
        <f t="shared" si="1"/>
        <v>125</v>
      </c>
      <c r="O32" s="51" t="s">
        <v>37</v>
      </c>
      <c r="P32" s="55" t="s">
        <v>38</v>
      </c>
      <c r="Q32" s="48" t="s">
        <v>39</v>
      </c>
      <c r="R32" s="48" t="s">
        <v>354</v>
      </c>
      <c r="S32" s="48" t="s">
        <v>355</v>
      </c>
      <c r="T32" s="48" t="s">
        <v>356</v>
      </c>
      <c r="U32" s="48" t="s">
        <v>357</v>
      </c>
      <c r="V32" s="48" t="s">
        <v>358</v>
      </c>
      <c r="W32" s="48" t="s">
        <v>45</v>
      </c>
      <c r="X32" s="48" t="s">
        <v>126</v>
      </c>
      <c r="Y32" s="48" t="s">
        <v>359</v>
      </c>
      <c r="Z32" s="2"/>
      <c r="AA32" s="2"/>
      <c r="AB32" s="2"/>
      <c r="AC32" s="2"/>
      <c r="AD32" s="2"/>
    </row>
    <row r="33" ht="15.75" customHeight="1">
      <c r="A33" s="47">
        <v>28.0</v>
      </c>
      <c r="B33" s="48" t="s">
        <v>360</v>
      </c>
      <c r="C33" s="48" t="s">
        <v>328</v>
      </c>
      <c r="D33" s="48" t="s">
        <v>361</v>
      </c>
      <c r="E33" s="57" t="s">
        <v>226</v>
      </c>
      <c r="F33" s="48" t="s">
        <v>362</v>
      </c>
      <c r="G33" s="48" t="s">
        <v>117</v>
      </c>
      <c r="H33" s="48"/>
      <c r="I33" s="48"/>
      <c r="J33" s="48" t="s">
        <v>36</v>
      </c>
      <c r="K33" s="48" t="s">
        <v>36</v>
      </c>
      <c r="L33" s="48"/>
      <c r="M33" s="48"/>
      <c r="N33" s="50">
        <f t="shared" si="1"/>
        <v>125</v>
      </c>
      <c r="O33" s="51" t="s">
        <v>52</v>
      </c>
      <c r="P33" s="55" t="s">
        <v>53</v>
      </c>
      <c r="Q33" s="48" t="s">
        <v>54</v>
      </c>
      <c r="R33" s="48" t="s">
        <v>363</v>
      </c>
      <c r="S33" s="48" t="s">
        <v>364</v>
      </c>
      <c r="T33" s="48" t="s">
        <v>365</v>
      </c>
      <c r="U33" s="48" t="s">
        <v>366</v>
      </c>
      <c r="V33" s="48" t="s">
        <v>367</v>
      </c>
      <c r="W33" s="48" t="s">
        <v>111</v>
      </c>
      <c r="X33" s="48" t="s">
        <v>46</v>
      </c>
      <c r="Y33" s="48" t="s">
        <v>368</v>
      </c>
      <c r="Z33" s="2"/>
      <c r="AA33" s="2"/>
      <c r="AB33" s="2"/>
      <c r="AC33" s="2"/>
      <c r="AD33" s="2"/>
    </row>
    <row r="34" ht="15.75" customHeight="1">
      <c r="A34" s="47">
        <v>29.0</v>
      </c>
      <c r="B34" s="58" t="s">
        <v>369</v>
      </c>
      <c r="C34" s="48" t="s">
        <v>370</v>
      </c>
      <c r="D34" s="48" t="s">
        <v>371</v>
      </c>
      <c r="E34" s="57" t="s">
        <v>226</v>
      </c>
      <c r="F34" s="48" t="s">
        <v>372</v>
      </c>
      <c r="G34" s="48" t="s">
        <v>78</v>
      </c>
      <c r="H34" s="48"/>
      <c r="I34" s="48" t="s">
        <v>36</v>
      </c>
      <c r="J34" s="48"/>
      <c r="K34" s="48"/>
      <c r="L34" s="48" t="s">
        <v>36</v>
      </c>
      <c r="M34" s="48"/>
      <c r="N34" s="50">
        <f t="shared" si="1"/>
        <v>100</v>
      </c>
      <c r="O34" s="51" t="s">
        <v>132</v>
      </c>
      <c r="P34" s="55" t="s">
        <v>133</v>
      </c>
      <c r="Q34" s="48" t="s">
        <v>134</v>
      </c>
      <c r="R34" s="48" t="s">
        <v>373</v>
      </c>
      <c r="S34" s="48" t="s">
        <v>374</v>
      </c>
      <c r="T34" s="48" t="s">
        <v>375</v>
      </c>
      <c r="U34" s="48" t="s">
        <v>376</v>
      </c>
      <c r="V34" s="48" t="s">
        <v>377</v>
      </c>
      <c r="W34" s="48" t="s">
        <v>72</v>
      </c>
      <c r="X34" s="48" t="s">
        <v>46</v>
      </c>
      <c r="Y34" s="48" t="s">
        <v>378</v>
      </c>
      <c r="Z34" s="2"/>
      <c r="AA34" s="2"/>
      <c r="AB34" s="2"/>
      <c r="AC34" s="2"/>
      <c r="AD34" s="2"/>
    </row>
    <row r="35" ht="15.75" customHeight="1">
      <c r="A35" s="47">
        <v>30.0</v>
      </c>
      <c r="B35" s="58" t="s">
        <v>379</v>
      </c>
      <c r="C35" s="48" t="s">
        <v>370</v>
      </c>
      <c r="D35" s="48" t="s">
        <v>380</v>
      </c>
      <c r="E35" s="57" t="s">
        <v>226</v>
      </c>
      <c r="F35" s="48" t="s">
        <v>381</v>
      </c>
      <c r="G35" s="48" t="s">
        <v>78</v>
      </c>
      <c r="H35" s="48"/>
      <c r="I35" s="48"/>
      <c r="J35" s="48" t="s">
        <v>36</v>
      </c>
      <c r="K35" s="48"/>
      <c r="L35" s="48"/>
      <c r="M35" s="48" t="s">
        <v>36</v>
      </c>
      <c r="N35" s="50">
        <f t="shared" si="1"/>
        <v>50</v>
      </c>
      <c r="O35" s="51" t="s">
        <v>52</v>
      </c>
      <c r="P35" s="55" t="s">
        <v>343</v>
      </c>
      <c r="Q35" s="48" t="s">
        <v>344</v>
      </c>
      <c r="R35" s="48" t="s">
        <v>382</v>
      </c>
      <c r="S35" s="48" t="s">
        <v>383</v>
      </c>
      <c r="T35" s="48" t="s">
        <v>384</v>
      </c>
      <c r="U35" s="48" t="s">
        <v>385</v>
      </c>
      <c r="V35" s="48" t="s">
        <v>386</v>
      </c>
      <c r="W35" s="48" t="s">
        <v>111</v>
      </c>
      <c r="X35" s="48" t="s">
        <v>26</v>
      </c>
      <c r="Y35" s="48" t="s">
        <v>387</v>
      </c>
      <c r="Z35" s="2"/>
      <c r="AA35" s="2"/>
      <c r="AB35" s="2"/>
      <c r="AC35" s="2"/>
      <c r="AD35" s="2"/>
    </row>
    <row r="36" ht="15.75" customHeight="1">
      <c r="A36" s="48">
        <v>31.0</v>
      </c>
      <c r="B36" s="48" t="s">
        <v>388</v>
      </c>
      <c r="C36" s="48" t="s">
        <v>31</v>
      </c>
      <c r="D36" s="48" t="s">
        <v>389</v>
      </c>
      <c r="E36" s="57" t="s">
        <v>390</v>
      </c>
      <c r="F36" s="48" t="s">
        <v>391</v>
      </c>
      <c r="G36" s="48" t="s">
        <v>35</v>
      </c>
      <c r="H36" s="48" t="s">
        <v>36</v>
      </c>
      <c r="I36" s="48"/>
      <c r="J36" s="48"/>
      <c r="K36" s="48" t="s">
        <v>36</v>
      </c>
      <c r="L36" s="48"/>
      <c r="M36" s="48"/>
      <c r="N36" s="50">
        <f t="shared" si="1"/>
        <v>200</v>
      </c>
      <c r="O36" s="59" t="s">
        <v>37</v>
      </c>
      <c r="P36" s="48" t="s">
        <v>79</v>
      </c>
      <c r="Q36" s="48" t="s">
        <v>80</v>
      </c>
      <c r="R36" s="48" t="s">
        <v>392</v>
      </c>
      <c r="S36" s="48" t="s">
        <v>393</v>
      </c>
      <c r="T36" s="48" t="s">
        <v>394</v>
      </c>
      <c r="U36" s="48" t="s">
        <v>395</v>
      </c>
      <c r="V36" s="48" t="s">
        <v>396</v>
      </c>
      <c r="W36" s="48" t="s">
        <v>45</v>
      </c>
      <c r="X36" s="48" t="s">
        <v>46</v>
      </c>
      <c r="Y36" s="48" t="s">
        <v>397</v>
      </c>
      <c r="Z36" s="2"/>
      <c r="AA36" s="2"/>
      <c r="AB36" s="2"/>
      <c r="AC36" s="2"/>
      <c r="AD36" s="2"/>
    </row>
    <row r="37" ht="15.75" customHeight="1">
      <c r="A37" s="48">
        <v>32.0</v>
      </c>
      <c r="B37" s="48" t="s">
        <v>398</v>
      </c>
      <c r="C37" s="48" t="s">
        <v>31</v>
      </c>
      <c r="D37" s="48" t="s">
        <v>399</v>
      </c>
      <c r="E37" s="57" t="s">
        <v>400</v>
      </c>
      <c r="F37" s="48" t="s">
        <v>401</v>
      </c>
      <c r="G37" s="48" t="s">
        <v>35</v>
      </c>
      <c r="H37" s="48" t="s">
        <v>36</v>
      </c>
      <c r="I37" s="48"/>
      <c r="J37" s="48"/>
      <c r="K37" s="48" t="s">
        <v>36</v>
      </c>
      <c r="L37" s="48"/>
      <c r="M37" s="48"/>
      <c r="N37" s="50">
        <f t="shared" si="1"/>
        <v>200</v>
      </c>
      <c r="O37" s="59" t="s">
        <v>52</v>
      </c>
      <c r="P37" s="48" t="s">
        <v>308</v>
      </c>
      <c r="Q37" s="48" t="s">
        <v>309</v>
      </c>
      <c r="R37" s="48" t="s">
        <v>402</v>
      </c>
      <c r="S37" s="48" t="s">
        <v>403</v>
      </c>
      <c r="T37" s="48" t="s">
        <v>219</v>
      </c>
      <c r="U37" s="48" t="s">
        <v>404</v>
      </c>
      <c r="V37" s="48" t="s">
        <v>405</v>
      </c>
      <c r="W37" s="48" t="s">
        <v>45</v>
      </c>
      <c r="X37" s="48" t="s">
        <v>46</v>
      </c>
      <c r="Y37" s="48" t="s">
        <v>406</v>
      </c>
      <c r="Z37" s="2"/>
      <c r="AA37" s="2"/>
      <c r="AB37" s="2"/>
      <c r="AC37" s="2"/>
      <c r="AD37" s="2"/>
    </row>
    <row r="38" ht="15.75" customHeight="1">
      <c r="A38" s="48">
        <v>33.0</v>
      </c>
      <c r="B38" s="48" t="s">
        <v>407</v>
      </c>
      <c r="C38" s="48" t="s">
        <v>31</v>
      </c>
      <c r="D38" s="48" t="s">
        <v>408</v>
      </c>
      <c r="E38" s="57" t="s">
        <v>409</v>
      </c>
      <c r="F38" s="48" t="s">
        <v>410</v>
      </c>
      <c r="G38" s="48" t="s">
        <v>117</v>
      </c>
      <c r="H38" s="48"/>
      <c r="I38" s="48" t="s">
        <v>36</v>
      </c>
      <c r="J38" s="48"/>
      <c r="K38" s="48" t="s">
        <v>36</v>
      </c>
      <c r="L38" s="48"/>
      <c r="M38" s="48"/>
      <c r="N38" s="50">
        <f t="shared" si="1"/>
        <v>150</v>
      </c>
      <c r="O38" s="59" t="s">
        <v>37</v>
      </c>
      <c r="P38" s="48" t="s">
        <v>319</v>
      </c>
      <c r="Q38" s="48" t="s">
        <v>320</v>
      </c>
      <c r="R38" s="48" t="s">
        <v>411</v>
      </c>
      <c r="S38" s="48" t="s">
        <v>412</v>
      </c>
      <c r="T38" s="48" t="s">
        <v>375</v>
      </c>
      <c r="U38" s="48" t="s">
        <v>413</v>
      </c>
      <c r="V38" s="48" t="s">
        <v>414</v>
      </c>
      <c r="W38" s="48" t="s">
        <v>72</v>
      </c>
      <c r="X38" s="48" t="s">
        <v>46</v>
      </c>
      <c r="Y38" s="48" t="s">
        <v>415</v>
      </c>
      <c r="Z38" s="2"/>
      <c r="AA38" s="2"/>
      <c r="AB38" s="2"/>
      <c r="AC38" s="2"/>
      <c r="AD38" s="2"/>
    </row>
    <row r="39" ht="15.75" customHeight="1">
      <c r="A39" s="48">
        <v>34.0</v>
      </c>
      <c r="B39" s="48" t="s">
        <v>416</v>
      </c>
      <c r="C39" s="48" t="s">
        <v>31</v>
      </c>
      <c r="D39" s="48" t="s">
        <v>417</v>
      </c>
      <c r="E39" s="57" t="s">
        <v>418</v>
      </c>
      <c r="F39" s="48" t="s">
        <v>419</v>
      </c>
      <c r="G39" s="48" t="s">
        <v>35</v>
      </c>
      <c r="H39" s="48"/>
      <c r="I39" s="48" t="s">
        <v>36</v>
      </c>
      <c r="J39" s="48"/>
      <c r="K39" s="48"/>
      <c r="L39" s="48" t="s">
        <v>36</v>
      </c>
      <c r="M39" s="48"/>
      <c r="N39" s="50">
        <f t="shared" si="1"/>
        <v>100</v>
      </c>
      <c r="O39" s="59" t="s">
        <v>52</v>
      </c>
      <c r="P39" s="48" t="s">
        <v>53</v>
      </c>
      <c r="Q39" s="48" t="s">
        <v>54</v>
      </c>
      <c r="R39" s="48" t="s">
        <v>420</v>
      </c>
      <c r="S39" s="48" t="s">
        <v>421</v>
      </c>
      <c r="T39" s="48" t="s">
        <v>422</v>
      </c>
      <c r="U39" s="48" t="s">
        <v>423</v>
      </c>
      <c r="V39" s="48" t="s">
        <v>424</v>
      </c>
      <c r="W39" s="48" t="s">
        <v>45</v>
      </c>
      <c r="X39" s="48" t="s">
        <v>46</v>
      </c>
      <c r="Y39" s="48" t="s">
        <v>425</v>
      </c>
      <c r="Z39" s="2"/>
      <c r="AA39" s="2"/>
      <c r="AB39" s="2"/>
      <c r="AC39" s="2"/>
      <c r="AD39" s="2"/>
    </row>
    <row r="40" ht="15.75" customHeight="1">
      <c r="A40" s="48">
        <v>35.0</v>
      </c>
      <c r="B40" s="48" t="s">
        <v>426</v>
      </c>
      <c r="C40" s="48" t="s">
        <v>31</v>
      </c>
      <c r="D40" s="48" t="s">
        <v>427</v>
      </c>
      <c r="E40" s="57" t="s">
        <v>428</v>
      </c>
      <c r="F40" s="48" t="s">
        <v>429</v>
      </c>
      <c r="G40" s="48" t="s">
        <v>78</v>
      </c>
      <c r="H40" s="48"/>
      <c r="I40" s="48" t="s">
        <v>36</v>
      </c>
      <c r="J40" s="48"/>
      <c r="K40" s="48" t="s">
        <v>36</v>
      </c>
      <c r="L40" s="48"/>
      <c r="M40" s="48"/>
      <c r="N40" s="50">
        <f t="shared" si="1"/>
        <v>150</v>
      </c>
      <c r="O40" s="59" t="s">
        <v>52</v>
      </c>
      <c r="P40" s="48" t="s">
        <v>343</v>
      </c>
      <c r="Q40" s="48" t="s">
        <v>344</v>
      </c>
      <c r="R40" s="48" t="s">
        <v>430</v>
      </c>
      <c r="S40" s="48" t="s">
        <v>431</v>
      </c>
      <c r="T40" s="48" t="s">
        <v>432</v>
      </c>
      <c r="U40" s="48" t="s">
        <v>433</v>
      </c>
      <c r="V40" s="48" t="s">
        <v>434</v>
      </c>
      <c r="W40" s="48" t="s">
        <v>435</v>
      </c>
      <c r="X40" s="48" t="s">
        <v>46</v>
      </c>
      <c r="Y40" s="48" t="s">
        <v>436</v>
      </c>
      <c r="Z40" s="2"/>
      <c r="AA40" s="2"/>
      <c r="AB40" s="2"/>
      <c r="AC40" s="2"/>
      <c r="AD40" s="2"/>
    </row>
    <row r="41" ht="15.75" customHeight="1">
      <c r="A41" s="48">
        <v>36.0</v>
      </c>
      <c r="B41" s="48" t="s">
        <v>437</v>
      </c>
      <c r="C41" s="48" t="s">
        <v>31</v>
      </c>
      <c r="D41" s="48" t="s">
        <v>438</v>
      </c>
      <c r="E41" s="57" t="s">
        <v>439</v>
      </c>
      <c r="F41" s="48" t="s">
        <v>440</v>
      </c>
      <c r="G41" s="48" t="s">
        <v>35</v>
      </c>
      <c r="H41" s="48" t="s">
        <v>36</v>
      </c>
      <c r="I41" s="48"/>
      <c r="J41" s="48"/>
      <c r="K41" s="48" t="s">
        <v>36</v>
      </c>
      <c r="L41" s="48"/>
      <c r="M41" s="48"/>
      <c r="N41" s="50">
        <f t="shared" si="1"/>
        <v>200</v>
      </c>
      <c r="O41" s="59" t="s">
        <v>37</v>
      </c>
      <c r="P41" s="48" t="s">
        <v>53</v>
      </c>
      <c r="Q41" s="48" t="s">
        <v>54</v>
      </c>
      <c r="R41" s="48" t="s">
        <v>441</v>
      </c>
      <c r="S41" s="48" t="s">
        <v>442</v>
      </c>
      <c r="T41" s="48" t="s">
        <v>443</v>
      </c>
      <c r="U41" s="48" t="s">
        <v>444</v>
      </c>
      <c r="V41" s="48" t="s">
        <v>445</v>
      </c>
      <c r="W41" s="48" t="s">
        <v>45</v>
      </c>
      <c r="X41" s="48" t="s">
        <v>46</v>
      </c>
      <c r="Y41" s="48" t="s">
        <v>446</v>
      </c>
      <c r="Z41" s="2"/>
      <c r="AA41" s="2"/>
      <c r="AB41" s="2"/>
      <c r="AC41" s="2"/>
      <c r="AD41" s="2"/>
    </row>
    <row r="42" ht="15.75" customHeight="1">
      <c r="A42" s="48">
        <v>37.0</v>
      </c>
      <c r="B42" s="48" t="s">
        <v>447</v>
      </c>
      <c r="C42" s="48" t="s">
        <v>31</v>
      </c>
      <c r="D42" s="48" t="s">
        <v>448</v>
      </c>
      <c r="E42" s="57" t="s">
        <v>449</v>
      </c>
      <c r="F42" s="48" t="s">
        <v>450</v>
      </c>
      <c r="G42" s="48" t="s">
        <v>117</v>
      </c>
      <c r="H42" s="48" t="s">
        <v>36</v>
      </c>
      <c r="I42" s="48"/>
      <c r="J42" s="48"/>
      <c r="K42" s="48" t="s">
        <v>36</v>
      </c>
      <c r="L42" s="48"/>
      <c r="M42" s="48"/>
      <c r="N42" s="50">
        <f t="shared" si="1"/>
        <v>200</v>
      </c>
      <c r="O42" s="59" t="s">
        <v>52</v>
      </c>
      <c r="P42" s="48" t="s">
        <v>104</v>
      </c>
      <c r="Q42" s="48" t="s">
        <v>105</v>
      </c>
      <c r="R42" s="48" t="s">
        <v>451</v>
      </c>
      <c r="S42" s="48" t="s">
        <v>452</v>
      </c>
      <c r="T42" s="48" t="s">
        <v>453</v>
      </c>
      <c r="U42" s="48" t="s">
        <v>454</v>
      </c>
      <c r="V42" s="48" t="s">
        <v>455</v>
      </c>
      <c r="W42" s="48" t="s">
        <v>45</v>
      </c>
      <c r="X42" s="48" t="s">
        <v>126</v>
      </c>
      <c r="Y42" s="48" t="s">
        <v>456</v>
      </c>
      <c r="Z42" s="2"/>
      <c r="AA42" s="2"/>
      <c r="AB42" s="2"/>
      <c r="AC42" s="2"/>
      <c r="AD42" s="2"/>
    </row>
    <row r="43" ht="15.75" customHeight="1">
      <c r="A43" s="48">
        <v>38.0</v>
      </c>
      <c r="B43" s="48" t="s">
        <v>457</v>
      </c>
      <c r="C43" s="48" t="s">
        <v>31</v>
      </c>
      <c r="D43" s="48" t="s">
        <v>458</v>
      </c>
      <c r="E43" s="57" t="s">
        <v>459</v>
      </c>
      <c r="F43" s="48" t="s">
        <v>460</v>
      </c>
      <c r="G43" s="48" t="s">
        <v>117</v>
      </c>
      <c r="H43" s="48"/>
      <c r="I43" s="48" t="s">
        <v>36</v>
      </c>
      <c r="J43" s="48"/>
      <c r="K43" s="48" t="s">
        <v>36</v>
      </c>
      <c r="L43" s="48"/>
      <c r="M43" s="48"/>
      <c r="N43" s="50">
        <f t="shared" si="1"/>
        <v>150</v>
      </c>
      <c r="O43" s="59" t="s">
        <v>37</v>
      </c>
      <c r="P43" s="48" t="s">
        <v>79</v>
      </c>
      <c r="Q43" s="48" t="s">
        <v>80</v>
      </c>
      <c r="R43" s="48" t="s">
        <v>461</v>
      </c>
      <c r="S43" s="48" t="s">
        <v>462</v>
      </c>
      <c r="T43" s="48" t="s">
        <v>463</v>
      </c>
      <c r="U43" s="48" t="s">
        <v>464</v>
      </c>
      <c r="V43" s="48" t="s">
        <v>465</v>
      </c>
      <c r="W43" s="48" t="s">
        <v>72</v>
      </c>
      <c r="X43" s="48" t="s">
        <v>46</v>
      </c>
      <c r="Y43" s="48" t="s">
        <v>466</v>
      </c>
      <c r="Z43" s="2"/>
      <c r="AA43" s="2"/>
      <c r="AB43" s="2"/>
      <c r="AC43" s="2"/>
      <c r="AD43" s="2"/>
    </row>
    <row r="44" ht="15.75" customHeight="1">
      <c r="A44" s="48">
        <v>39.0</v>
      </c>
      <c r="B44" s="48" t="s">
        <v>467</v>
      </c>
      <c r="C44" s="48" t="s">
        <v>31</v>
      </c>
      <c r="D44" s="48" t="s">
        <v>468</v>
      </c>
      <c r="E44" s="57" t="s">
        <v>469</v>
      </c>
      <c r="F44" s="48" t="s">
        <v>470</v>
      </c>
      <c r="G44" s="48" t="s">
        <v>78</v>
      </c>
      <c r="H44" s="48"/>
      <c r="I44" s="48" t="s">
        <v>36</v>
      </c>
      <c r="J44" s="48"/>
      <c r="K44" s="48" t="s">
        <v>36</v>
      </c>
      <c r="L44" s="48"/>
      <c r="M44" s="48"/>
      <c r="N44" s="50">
        <f t="shared" si="1"/>
        <v>150</v>
      </c>
      <c r="O44" s="59" t="s">
        <v>52</v>
      </c>
      <c r="P44" s="48" t="s">
        <v>343</v>
      </c>
      <c r="Q44" s="48" t="s">
        <v>344</v>
      </c>
      <c r="R44" s="48" t="s">
        <v>471</v>
      </c>
      <c r="S44" s="48" t="s">
        <v>472</v>
      </c>
      <c r="T44" s="48" t="s">
        <v>473</v>
      </c>
      <c r="U44" s="48" t="s">
        <v>474</v>
      </c>
      <c r="V44" s="48" t="s">
        <v>475</v>
      </c>
      <c r="W44" s="48" t="s">
        <v>435</v>
      </c>
      <c r="X44" s="48" t="s">
        <v>46</v>
      </c>
      <c r="Y44" s="48" t="s">
        <v>476</v>
      </c>
      <c r="Z44" s="2"/>
      <c r="AA44" s="2"/>
      <c r="AB44" s="2"/>
      <c r="AC44" s="2"/>
      <c r="AD44" s="2"/>
    </row>
    <row r="45" ht="15.75" customHeight="1">
      <c r="A45" s="48">
        <v>40.0</v>
      </c>
      <c r="B45" s="48" t="s">
        <v>477</v>
      </c>
      <c r="C45" s="48" t="s">
        <v>31</v>
      </c>
      <c r="D45" s="48" t="s">
        <v>478</v>
      </c>
      <c r="E45" s="57" t="s">
        <v>479</v>
      </c>
      <c r="F45" s="48" t="s">
        <v>480</v>
      </c>
      <c r="G45" s="48" t="s">
        <v>117</v>
      </c>
      <c r="H45" s="48"/>
      <c r="I45" s="48" t="s">
        <v>36</v>
      </c>
      <c r="J45" s="48"/>
      <c r="K45" s="48"/>
      <c r="L45" s="48" t="s">
        <v>36</v>
      </c>
      <c r="M45" s="48"/>
      <c r="N45" s="50">
        <f t="shared" si="1"/>
        <v>100</v>
      </c>
      <c r="O45" s="59" t="s">
        <v>52</v>
      </c>
      <c r="P45" s="48" t="s">
        <v>145</v>
      </c>
      <c r="Q45" s="48" t="s">
        <v>146</v>
      </c>
      <c r="R45" s="48" t="s">
        <v>481</v>
      </c>
      <c r="S45" s="48" t="s">
        <v>482</v>
      </c>
      <c r="T45" s="48" t="s">
        <v>483</v>
      </c>
      <c r="U45" s="48" t="s">
        <v>484</v>
      </c>
      <c r="V45" s="48" t="s">
        <v>485</v>
      </c>
      <c r="W45" s="48" t="s">
        <v>98</v>
      </c>
      <c r="X45" s="48" t="s">
        <v>46</v>
      </c>
      <c r="Y45" s="48" t="s">
        <v>486</v>
      </c>
      <c r="Z45" s="2"/>
      <c r="AA45" s="2"/>
      <c r="AB45" s="2"/>
      <c r="AC45" s="2"/>
      <c r="AD45" s="2"/>
    </row>
    <row r="46" ht="15.75" customHeight="1">
      <c r="A46" s="60"/>
      <c r="B46" s="61"/>
      <c r="C46" s="2"/>
      <c r="P46" s="2"/>
      <c r="Z46" s="2"/>
      <c r="AA46" s="2"/>
      <c r="AB46" s="2"/>
      <c r="AC46" s="2"/>
      <c r="AD46" s="2"/>
    </row>
    <row r="47" ht="15.75" customHeight="1">
      <c r="A47" s="60"/>
      <c r="B47" s="2"/>
      <c r="C47" s="2"/>
      <c r="P47" s="2"/>
      <c r="Z47" s="2"/>
      <c r="AA47" s="2"/>
      <c r="AB47" s="2"/>
      <c r="AC47" s="2"/>
      <c r="AD47" s="2"/>
    </row>
    <row r="48" ht="15.75" customHeight="1">
      <c r="A48" s="60"/>
      <c r="B48" s="2"/>
      <c r="C48" s="2"/>
      <c r="P48" s="2"/>
      <c r="Z48" s="2"/>
      <c r="AA48" s="2"/>
      <c r="AB48" s="2"/>
      <c r="AC48" s="2"/>
      <c r="AD48" s="2"/>
    </row>
    <row r="49" ht="15.75" customHeight="1">
      <c r="A49" s="60"/>
      <c r="B49" s="2"/>
      <c r="C49" s="2"/>
      <c r="P49" s="2"/>
      <c r="AD49" s="2"/>
    </row>
    <row r="50" ht="15.75" customHeight="1">
      <c r="A50" s="60"/>
      <c r="B50" s="2"/>
      <c r="C50" s="2"/>
      <c r="P50" s="2"/>
      <c r="AD50" s="2"/>
    </row>
    <row r="51" ht="15.75" customHeight="1">
      <c r="A51" s="60"/>
      <c r="B51" s="2"/>
      <c r="C51" s="2"/>
      <c r="P51" s="2"/>
      <c r="AD51" s="2"/>
    </row>
    <row r="52" ht="15.75" customHeight="1">
      <c r="A52" s="60"/>
      <c r="B52" s="2"/>
      <c r="C52" s="2"/>
      <c r="P52" s="2"/>
      <c r="AD52" s="2"/>
    </row>
    <row r="53" ht="15.75" customHeight="1">
      <c r="A53" s="60"/>
      <c r="B53" s="2"/>
      <c r="C53" s="2"/>
      <c r="P53" s="2"/>
      <c r="AD53" s="2"/>
    </row>
    <row r="54" ht="15.75" customHeight="1">
      <c r="A54" s="2"/>
      <c r="B54" s="2"/>
      <c r="C54" s="2"/>
      <c r="P54" s="2"/>
      <c r="AD54" s="2"/>
    </row>
    <row r="55" ht="15.75" customHeight="1">
      <c r="A55" s="2"/>
      <c r="B55" s="2"/>
      <c r="C55" s="2"/>
      <c r="P55" s="2"/>
      <c r="AD55" s="2"/>
    </row>
    <row r="56" ht="15.75" customHeight="1">
      <c r="A56" s="2"/>
      <c r="B56" s="2"/>
      <c r="C56" s="2"/>
      <c r="P56" s="2"/>
      <c r="AD56" s="2"/>
    </row>
    <row r="57" ht="15.75" customHeight="1">
      <c r="A57" s="2"/>
      <c r="B57" s="2"/>
      <c r="C57" s="2"/>
      <c r="P57" s="2"/>
      <c r="AD57" s="2"/>
    </row>
    <row r="58" ht="15.75" customHeight="1">
      <c r="A58" s="2"/>
      <c r="B58" s="2"/>
      <c r="C58" s="2"/>
      <c r="P58" s="2"/>
      <c r="AD58" s="2"/>
    </row>
    <row r="59" ht="15.75" customHeight="1">
      <c r="A59" s="2"/>
      <c r="B59" s="2"/>
      <c r="C59" s="2"/>
      <c r="P59" s="2"/>
      <c r="Z59" s="2"/>
      <c r="AA59" s="2"/>
      <c r="AB59" s="2"/>
      <c r="AC59" s="2"/>
      <c r="AD59" s="2"/>
    </row>
    <row r="60" ht="15.75" customHeight="1">
      <c r="A60" s="61"/>
      <c r="B60" s="61"/>
      <c r="C60" s="2"/>
      <c r="P60" s="2"/>
      <c r="Z60" s="2"/>
      <c r="AA60" s="2"/>
      <c r="AB60" s="2"/>
      <c r="AC60" s="2"/>
      <c r="AD60" s="2"/>
    </row>
    <row r="61" ht="15.75" customHeight="1">
      <c r="A61" s="61"/>
      <c r="B61" s="61"/>
      <c r="C61" s="2"/>
      <c r="P61" s="2"/>
      <c r="Z61" s="2"/>
      <c r="AA61" s="2"/>
      <c r="AB61" s="2"/>
      <c r="AC61" s="2"/>
      <c r="AD61" s="2"/>
    </row>
    <row r="62" ht="15.75" customHeight="1">
      <c r="A62" s="61"/>
      <c r="B62" s="61"/>
      <c r="C62" s="2"/>
      <c r="P62" s="61"/>
      <c r="Z62" s="2"/>
      <c r="AA62" s="2"/>
      <c r="AB62" s="2"/>
      <c r="AC62" s="2"/>
      <c r="AD62" s="2"/>
    </row>
    <row r="63" ht="15.75" customHeight="1">
      <c r="A63" s="61"/>
      <c r="B63" s="61"/>
      <c r="C63" s="2"/>
      <c r="P63" s="61"/>
      <c r="Z63" s="2"/>
      <c r="AA63" s="2"/>
      <c r="AB63" s="2"/>
      <c r="AC63" s="2"/>
      <c r="AD63" s="2"/>
    </row>
    <row r="64" ht="15.75" customHeight="1">
      <c r="A64" s="61"/>
      <c r="B64" s="61"/>
      <c r="C64" s="2"/>
      <c r="P64" s="61"/>
      <c r="Z64" s="2"/>
      <c r="AA64" s="2"/>
      <c r="AB64" s="2"/>
      <c r="AC64" s="2"/>
      <c r="AD64" s="2"/>
    </row>
    <row r="65" ht="15.75" customHeight="1">
      <c r="A65" s="61"/>
      <c r="B65" s="61"/>
      <c r="C65" s="61"/>
      <c r="P65" s="61"/>
      <c r="Z65" s="2"/>
      <c r="AA65" s="2"/>
      <c r="AB65" s="2"/>
      <c r="AC65" s="2"/>
      <c r="AD65" s="2"/>
    </row>
    <row r="66" ht="15.75" customHeight="1">
      <c r="A66" s="61"/>
      <c r="B66" s="61"/>
      <c r="C66" s="61"/>
      <c r="P66" s="61"/>
      <c r="Z66" s="2"/>
      <c r="AA66" s="2"/>
      <c r="AB66" s="2"/>
      <c r="AC66" s="2"/>
      <c r="AD66" s="2"/>
    </row>
    <row r="67" ht="15.75" customHeight="1">
      <c r="A67" s="61"/>
      <c r="B67" s="61"/>
      <c r="C67" s="61"/>
      <c r="P67" s="61"/>
      <c r="Z67" s="2"/>
      <c r="AA67" s="2"/>
      <c r="AB67" s="2"/>
      <c r="AC67" s="2"/>
      <c r="AD67" s="2"/>
    </row>
    <row r="68" ht="15.75" customHeight="1">
      <c r="A68" s="2"/>
      <c r="B68" s="2"/>
      <c r="C68" s="2"/>
      <c r="P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P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P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P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P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P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P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62"/>
      <c r="E83" s="62"/>
      <c r="F83" s="62"/>
      <c r="G83" s="62"/>
      <c r="H83" s="62"/>
      <c r="I83" s="6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Y968" s="2"/>
      <c r="Z968" s="2"/>
      <c r="AA968" s="2"/>
      <c r="AB968" s="2"/>
      <c r="AC968" s="2"/>
      <c r="AD968" s="2"/>
    </row>
    <row r="969" ht="15.75" customHeight="1">
      <c r="Y969" s="2"/>
      <c r="Z969" s="2"/>
      <c r="AA969" s="2"/>
      <c r="AB969" s="2"/>
      <c r="AC969" s="2"/>
      <c r="AD969" s="2"/>
    </row>
    <row r="970" ht="15.75" customHeight="1">
      <c r="Y970" s="2"/>
      <c r="Z970" s="2"/>
      <c r="AA970" s="2"/>
      <c r="AB970" s="2"/>
      <c r="AC970" s="2"/>
      <c r="AD970" s="2"/>
    </row>
    <row r="971" ht="15.75" customHeight="1">
      <c r="Y971" s="2"/>
      <c r="Z971" s="2"/>
      <c r="AA971" s="2"/>
      <c r="AB971" s="2"/>
      <c r="AC971" s="2"/>
      <c r="AD971" s="2"/>
    </row>
    <row r="972" ht="15.75" customHeight="1">
      <c r="Y972" s="2"/>
      <c r="Z972" s="2"/>
      <c r="AA972" s="2"/>
      <c r="AB972" s="2"/>
      <c r="AC972" s="2"/>
      <c r="AD972" s="2"/>
    </row>
  </sheetData>
  <mergeCells count="3">
    <mergeCell ref="E4:F4"/>
    <mergeCell ref="H4:J4"/>
    <mergeCell ref="K4:M4"/>
  </mergeCells>
  <conditionalFormatting sqref="N4:N4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6:E66 M36:M38 M62 M67 N6:N45 N63:N972 O22 O27 P23:P35">
    <cfRule type="notContainsBlanks" dxfId="0" priority="2">
      <formula>LEN(TRIM(E36))&gt;0</formula>
    </cfRule>
  </conditionalFormatting>
  <conditionalFormatting sqref="N6:N4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86"/>
    <col customWidth="1" min="2" max="2" width="10.57"/>
    <col customWidth="1" min="3" max="6" width="54.29"/>
    <col customWidth="1" min="7" max="26" width="10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hidden="1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29"/>
    <col customWidth="1" min="2" max="2" width="17.71"/>
    <col customWidth="1" min="3" max="26" width="10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hidden="1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0.57"/>
    <col customWidth="1" min="3" max="26" width="10.71"/>
  </cols>
  <sheetData>
    <row r="3"/>
    <row r="4"/>
    <row r="5"/>
    <row r="6"/>
    <row r="7"/>
    <row r="8"/>
    <row r="9"/>
    <row r="10" hidden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29"/>
    <col customWidth="1" min="2" max="2" width="13.43"/>
    <col customWidth="1" min="3" max="26" width="10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hidden="1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0"/>
    <col customWidth="1" min="3" max="26" width="10.71"/>
  </cols>
  <sheetData>
    <row r="3"/>
    <row r="4"/>
    <row r="5"/>
    <row r="6"/>
    <row r="7"/>
    <row r="8"/>
    <row r="9"/>
    <row r="10" hidden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0.57"/>
    <col customWidth="1" min="3" max="26" width="10.71"/>
  </cols>
  <sheetData>
    <row r="3"/>
    <row r="4"/>
    <row r="5"/>
    <row r="6"/>
    <row r="7" hidden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