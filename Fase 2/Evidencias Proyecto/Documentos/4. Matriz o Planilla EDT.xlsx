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  <sheet state="visible" name="Diccionario EDT" sheetId="3" r:id="rId6"/>
  </sheets>
  <definedNames/>
  <calcPr/>
  <extLst>
    <ext uri="GoogleSheetsCustomDataVersion2">
      <go:sheetsCustomData xmlns:go="http://customooxmlschemas.google.com/" r:id="rId7" roundtripDataChecksum="o1yAmseoNnlthow8R7PtQb8APt8Qr5ExMpZ4s0lyDT0="/>
    </ext>
  </extLst>
</workbook>
</file>

<file path=xl/sharedStrings.xml><?xml version="1.0" encoding="utf-8"?>
<sst xmlns="http://schemas.openxmlformats.org/spreadsheetml/2006/main" count="448" uniqueCount="308">
  <si>
    <t>Matriz Estructura de descomposición de tareas EDT</t>
  </si>
  <si>
    <t>DIAS</t>
  </si>
  <si>
    <t>HORAS POR ACTIVIDAD O ENTREGABLE</t>
  </si>
  <si>
    <t>DICCIONARIO EDT</t>
  </si>
  <si>
    <t>Fase de Planificación Inicial</t>
  </si>
  <si>
    <t>Jefe de Proyecto</t>
  </si>
  <si>
    <t>Programador Frontend</t>
  </si>
  <si>
    <t>Tester QA</t>
  </si>
  <si>
    <t>Arquitecto de Software</t>
  </si>
  <si>
    <t>Programador Backend</t>
  </si>
  <si>
    <t>ROL ACTOR</t>
  </si>
  <si>
    <t>NOMBRE ACTOR</t>
  </si>
  <si>
    <t>Acta de Constitución del Proyecto</t>
  </si>
  <si>
    <t>Juan Paillán</t>
  </si>
  <si>
    <t>EDT – Hitos de Desarrollo y Diccionario</t>
  </si>
  <si>
    <t>Almendra Pavez</t>
  </si>
  <si>
    <t>Carta Gantt</t>
  </si>
  <si>
    <t>Felipe Lorca</t>
  </si>
  <si>
    <t>Definición de Responsabilidades (RACI)</t>
  </si>
  <si>
    <t>Sebastián Muñoz</t>
  </si>
  <si>
    <t>Matriz de Riesgos</t>
  </si>
  <si>
    <t>Michael Rubio</t>
  </si>
  <si>
    <t>Plan de Pruebas Inicial</t>
  </si>
  <si>
    <t>Fase de Análisis y diseño</t>
  </si>
  <si>
    <t>Documento de Especificación de Requerimientos (ERS)</t>
  </si>
  <si>
    <t>Casos de Uso Específicos (UML)</t>
  </si>
  <si>
    <t>Plan de Costos</t>
  </si>
  <si>
    <t>Mockups – Interfaz Completa del Sistema</t>
  </si>
  <si>
    <t>Definición de Actividades Detalladas (EDT extendida)</t>
  </si>
  <si>
    <t>Plan de Riesgos</t>
  </si>
  <si>
    <t>Plan de Comunicación</t>
  </si>
  <si>
    <t>Plan de Adquisiciones</t>
  </si>
  <si>
    <t>Modelo de Proceso de Negocio (TO-BE)</t>
  </si>
  <si>
    <t>Diagrama de Arquitectura del Sistema</t>
  </si>
  <si>
    <t>Plan de Calidad</t>
  </si>
  <si>
    <t>Diagrama de Actividad (UML)</t>
  </si>
  <si>
    <t xml:space="preserve">                </t>
  </si>
  <si>
    <t>Modelo Entidad-Relación (E-R)</t>
  </si>
  <si>
    <t>Modelo Relacional Normalizado</t>
  </si>
  <si>
    <t>Diccionario de Datos</t>
  </si>
  <si>
    <t>Diagrama de Clases</t>
  </si>
  <si>
    <t>Fase de Construcción</t>
  </si>
  <si>
    <t>Implementación del Ambiente de Desarrollo</t>
  </si>
  <si>
    <t>Creación de Base de Datos, Tablas y Scripts</t>
  </si>
  <si>
    <t>Minuta de Control de Programación</t>
  </si>
  <si>
    <t>Matriz de Seguimiento y Status del Proyecto</t>
  </si>
  <si>
    <t>Verificación de Alcances</t>
  </si>
  <si>
    <t>Matriz de Gestión y Control de Cambios</t>
  </si>
  <si>
    <t>Fase de implementación y cierre</t>
  </si>
  <si>
    <t>Plan de Pruebas Final</t>
  </si>
  <si>
    <t>Ejecución de Pruebas y Corrección de Defectos</t>
  </si>
  <si>
    <t>Reporte de Estatus Final del Proyecto</t>
  </si>
  <si>
    <t>Plan de Implantación (Deploy)</t>
  </si>
  <si>
    <t>Plan de Soporte y Mantención</t>
  </si>
  <si>
    <t>Plan de Capacitación</t>
  </si>
  <si>
    <t>Manual de Usuario y Manual de Administrador</t>
  </si>
  <si>
    <t>Informe de Cierre del Proyecto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</si>
  <si>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</si>
  <si>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</si>
  <si>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</si>
  <si>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</si>
  <si>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</si>
  <si>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</si>
  <si>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</si>
  <si>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JP</t>
  </si>
  <si>
    <t>COSTO x HORA</t>
  </si>
  <si>
    <t>Sueldo mes</t>
  </si>
  <si>
    <t>PF</t>
  </si>
  <si>
    <t>QA</t>
  </si>
  <si>
    <t>AS</t>
  </si>
  <si>
    <t>PB</t>
  </si>
  <si>
    <t>TOTAL FASE PLANIFICACION</t>
  </si>
  <si>
    <t xml:space="preserve">VALOR HORA HH </t>
  </si>
  <si>
    <t>FASE DISEÑO</t>
  </si>
  <si>
    <t>COSTO HH POR ROL</t>
  </si>
  <si>
    <t>TOTAL FASE DISEÑO</t>
  </si>
  <si>
    <t>TOTAL HH</t>
  </si>
  <si>
    <t>FASE DESARROLLO</t>
  </si>
  <si>
    <t>COSTO POR FASE</t>
  </si>
  <si>
    <t>Fase de Análisis y Diseño</t>
  </si>
  <si>
    <t>Fase de Implementación y Cierre</t>
  </si>
  <si>
    <t>TOTAL HH FASES</t>
  </si>
  <si>
    <t>TOTAL FASE CONSTRUCCION</t>
  </si>
  <si>
    <t>FASE IMPLEMENTACION Y CIERRE</t>
  </si>
  <si>
    <t xml:space="preserve">Margen </t>
  </si>
  <si>
    <t>UTILIDAD</t>
  </si>
  <si>
    <t>PRECIO FINAL</t>
  </si>
  <si>
    <t>TOTAL FASE IMPLEMENTACION Y CIERRE</t>
  </si>
  <si>
    <t>Nivel</t>
  </si>
  <si>
    <t>Código EDT</t>
  </si>
  <si>
    <t>Nombre de elemento</t>
  </si>
  <si>
    <t>Definición</t>
  </si>
  <si>
    <t>Supuestos</t>
  </si>
  <si>
    <t>Restricciones</t>
  </si>
  <si>
    <t>Riesgos</t>
  </si>
  <si>
    <t>Consideraciones</t>
  </si>
  <si>
    <t>Conjunto de actividades para definir los lineamientos generales, alcance y gestión del proyecto.</t>
  </si>
  <si>
    <t>Se cuenta con tiempo y recursos para planificación inicial.</t>
  </si>
  <si>
    <t>Todo debe aprobarse antes de pasar a análisis y diseño.</t>
  </si>
  <si>
    <t>Falta de claridad inicial puede afectar fases posteriores.</t>
  </si>
  <si>
    <t>La fase guía el marco de trabajo completo.</t>
  </si>
  <si>
    <t>Elaboración del Acta de Constitución</t>
  </si>
  <si>
    <t>Documento que formaliza el inicio del proyecto, define objetivos, alcance y responsables.</t>
  </si>
  <si>
    <t>Stakeholders disponibles para revisión.</t>
  </si>
  <si>
    <t>Debe aprobarse antes de continuar.</t>
  </si>
  <si>
    <t>Retraso en validación.</t>
  </si>
  <si>
    <t>Requiere consenso gerencial.</t>
  </si>
  <si>
    <t>Desglose jerárquico de entregables y su definición.</t>
  </si>
  <si>
    <t>Se dispone de lineamientos de dirección.</t>
  </si>
  <si>
    <t>Debe reflejar todo el proyecto.</t>
  </si>
  <si>
    <t>Omisiones en la EDT impactan en control.</t>
  </si>
  <si>
    <t>Actualizar constantemente.</t>
  </si>
  <si>
    <t>Cronograma detallado con actividades, tiempos y dependencias.</t>
  </si>
  <si>
    <t>Se conocen las duraciones estimadas.</t>
  </si>
  <si>
    <t>Debe estar lista al inicio.</t>
  </si>
  <si>
    <t>Subestimación de tiempos.</t>
  </si>
  <si>
    <t>Debe revisarse periódicamente.</t>
  </si>
  <si>
    <t>Matriz que asigna roles y responsabilidades.</t>
  </si>
  <si>
    <t>Roles definidos y aceptados.</t>
  </si>
  <si>
    <t>Todos los miembros deben estar cubiertos.</t>
  </si>
  <si>
    <t>Confusión en responsabilidades.</t>
  </si>
  <si>
    <t>Mantenerla alineada con el equipo.</t>
  </si>
  <si>
    <t>Identificación de riesgos con impacto y probabilidad.</t>
  </si>
  <si>
    <t>Acceso a información histórica.</t>
  </si>
  <si>
    <t>Requiere actualización constante.</t>
  </si>
  <si>
    <t>Riesgos no identificados.</t>
  </si>
  <si>
    <t>Integrar en la gestión del proyecto.</t>
  </si>
  <si>
    <t>Estrategia preliminar de pruebas y validaciones.</t>
  </si>
  <si>
    <t>Alcance inicial definido.</t>
  </si>
  <si>
    <t>Se limita a requerimientos iniciales.</t>
  </si>
  <si>
    <t>Cambios posteriores impactan.</t>
  </si>
  <si>
    <t>Base para pruebas finales.</t>
  </si>
  <si>
    <t>Actividades de levantamiento de requerimientos, modelos, planes y diseño de la solución.</t>
  </si>
  <si>
    <t>Stakeholders disponibles para entrevistas.</t>
  </si>
  <si>
    <t>Depende de la aprobación de fase 1.</t>
  </si>
  <si>
    <t>Requerimientos mal definidos.</t>
  </si>
  <si>
    <t>La calidad del diseño impacta construcción.</t>
  </si>
  <si>
    <t>Documento ERS</t>
  </si>
  <si>
    <t>Especificación detallada de requerimientos funcionales y no funcionales.</t>
  </si>
  <si>
    <t>Usuarios colaboran.</t>
  </si>
  <si>
    <t>Debe estar completo antes de diseño.</t>
  </si>
  <si>
    <t>Omisiones críticas.</t>
  </si>
  <si>
    <t>Revisiones periódicas.</t>
  </si>
  <si>
    <t>Casos de Uso UML</t>
  </si>
  <si>
    <t>Modelado de interacciones del sistema con actores externos.</t>
  </si>
  <si>
    <t>Requerimientos claros.</t>
  </si>
  <si>
    <t>Basado en ERS.</t>
  </si>
  <si>
    <t>Mal modelado genera errores posteriores.</t>
  </si>
  <si>
    <t>Apoyar con validación de usuarios.</t>
  </si>
  <si>
    <t>Estimación de costos por fases, roles y recursos.</t>
  </si>
  <si>
    <t>Tarifas definidas.</t>
  </si>
  <si>
    <t>Sujeto al presupuesto.</t>
  </si>
  <si>
    <t>Costos subestimados.</t>
  </si>
  <si>
    <t>Revisar ante cambios de alcance.</t>
  </si>
  <si>
    <t>Mockups Interfaz</t>
  </si>
  <si>
    <t>Prototipos visuales del sistema.</t>
  </si>
  <si>
    <t>Herramientas disponibles.</t>
  </si>
  <si>
    <t>Limitado a alcance definido.</t>
  </si>
  <si>
    <t>Expectativas irreales de usuarios.</t>
  </si>
  <si>
    <t>Iterar con validaciones tempranas.</t>
  </si>
  <si>
    <t>Definición Actividades (EDT extendida)</t>
  </si>
  <si>
    <t>Detalle ampliado de la EDT con actividades específicas.</t>
  </si>
  <si>
    <t>Se cuenta con la EDT inicial.</t>
  </si>
  <si>
    <t>Debe ser coherente con WBS inicial.</t>
  </si>
  <si>
    <t>Omisiones en actividades.</t>
  </si>
  <si>
    <t>Útil para control detallado.</t>
  </si>
  <si>
    <t>Actualización y expansión de la matriz de riesgos.</t>
  </si>
  <si>
    <t>Riesgos iniciales ya levantados.</t>
  </si>
  <si>
    <t>Debe incluir análisis cuantitativo.</t>
  </si>
  <si>
    <t>Riesgos nuevos no detectados.</t>
  </si>
  <si>
    <t>Integrar con plan de comunicación.</t>
  </si>
  <si>
    <t>Estrategia de flujos de información.</t>
  </si>
  <si>
    <t>Canales definidos.</t>
  </si>
  <si>
    <t>Todos los actores deben participar.</t>
  </si>
  <si>
    <t>Mala comunicación.</t>
  </si>
  <si>
    <t>Usar herramientas colaborativas.</t>
  </si>
  <si>
    <t>Identificación de recursos externos necesarios.</t>
  </si>
  <si>
    <t>Presupuesto aprobado.</t>
  </si>
  <si>
    <t>Limitado a mercado disponible.</t>
  </si>
  <si>
    <t>Retraso en proveedores.</t>
  </si>
  <si>
    <t>Incluir cláusulas de respaldo.</t>
  </si>
  <si>
    <t>Representación del proceso futuro tras el sistema.</t>
  </si>
  <si>
    <t>Usuarios disponibles.</t>
  </si>
  <si>
    <t>Basado en procesos actuales.</t>
  </si>
  <si>
    <t>Mal modelado afecta sistema.</t>
  </si>
  <si>
    <t>Validar con negocio.</t>
  </si>
  <si>
    <t>Diagrama Arquitectura del Sistema</t>
  </si>
  <si>
    <t>Representación de componentes y relaciones.</t>
  </si>
  <si>
    <t>Herramientas de modelado disponibles.</t>
  </si>
  <si>
    <t>Arquitectura no escalable.</t>
  </si>
  <si>
    <t>Considerar buenas prácticas.</t>
  </si>
  <si>
    <t>Estrategia de aseguramiento de calidad.</t>
  </si>
  <si>
    <t>Estándares definidos.</t>
  </si>
  <si>
    <t>Debe seguir normas.</t>
  </si>
  <si>
    <t>Defectos no detectados.</t>
  </si>
  <si>
    <t>Incluir métricas claras.</t>
  </si>
  <si>
    <t>Diagrama de Actividad UML</t>
  </si>
  <si>
    <t>Flujo detallado de procesos del sistema.</t>
  </si>
  <si>
    <t>Omisiones en diagramas.</t>
  </si>
  <si>
    <t>Revisión con analistas.</t>
  </si>
  <si>
    <t>2.13</t>
  </si>
  <si>
    <t>Modelo Entidad-Relación</t>
  </si>
  <si>
    <t>Modelo conceptual de datos.</t>
  </si>
  <si>
    <t>Requerimientos disponibles.</t>
  </si>
  <si>
    <t>Debe estar normalizado.</t>
  </si>
  <si>
    <t>Errores en relaciones.</t>
  </si>
  <si>
    <t>Revisar con DBA.</t>
  </si>
  <si>
    <t>2.14</t>
  </si>
  <si>
    <t>Conversión del modelo E-R en tablas normalizadas.</t>
  </si>
  <si>
    <t>Se cuenta con modelo E-R.</t>
  </si>
  <si>
    <t>Cumplir 3FN mínimo.</t>
  </si>
  <si>
    <t>Anomalías en diseño.</t>
  </si>
  <si>
    <t>Validar con consultas de prueba.</t>
  </si>
  <si>
    <t>2.15</t>
  </si>
  <si>
    <t>Definición de atributos de datos.</t>
  </si>
  <si>
    <t>Modelo relacional definido.</t>
  </si>
  <si>
    <t>Debe ser completo.</t>
  </si>
  <si>
    <t>Inconsistencias de datos.</t>
  </si>
  <si>
    <t>Mantener actualizado.</t>
  </si>
  <si>
    <t>2.16</t>
  </si>
  <si>
    <t>Modelado de clases, atributos y relaciones.</t>
  </si>
  <si>
    <t>ERS aprobado.</t>
  </si>
  <si>
    <t>Basado en UML estándar.</t>
  </si>
  <si>
    <t>Revisar con arquitecto.</t>
  </si>
  <si>
    <t>Desarrollo del sistema, base de datos y control del proyecto.</t>
  </si>
  <si>
    <t>Recursos técnicos disponibles.</t>
  </si>
  <si>
    <t>Depende del diseño aprobado.</t>
  </si>
  <si>
    <t>Retrasos en desarrollo.</t>
  </si>
  <si>
    <t>Dividir en iteraciones.</t>
  </si>
  <si>
    <t>Implementación del Ambiente</t>
  </si>
  <si>
    <t>Configuración de servidores y entorno de desarrollo.</t>
  </si>
  <si>
    <t>Hardware y software disponibles.</t>
  </si>
  <si>
    <t>Debe estar listo antes de programación.</t>
  </si>
  <si>
    <t>Fallos en infraestructura.</t>
  </si>
  <si>
    <t>Verificar compatibilidad.</t>
  </si>
  <si>
    <t>Creación BD, Tablas y Scripts</t>
  </si>
  <si>
    <t>Implementación física de la base de datos.</t>
  </si>
  <si>
    <t>Modelo relacional aprobado.</t>
  </si>
  <si>
    <t>Cumplir estándares de seguridad.</t>
  </si>
  <si>
    <t>Errores de diseño impactan.</t>
  </si>
  <si>
    <t>Registro de avances y tareas.</t>
  </si>
  <si>
    <t>Equipo reporta estado.</t>
  </si>
  <si>
    <t>Debe ser periódico.</t>
  </si>
  <si>
    <t>Poca disciplina en reportes.</t>
  </si>
  <si>
    <t>Usar herramientas ágiles.</t>
  </si>
  <si>
    <t>Matriz Seguimiento y Status</t>
  </si>
  <si>
    <t>Herramienta de control de progreso.</t>
  </si>
  <si>
    <t>Datos actualizados.</t>
  </si>
  <si>
    <t>Debe alinearse al cronograma.</t>
  </si>
  <si>
    <t>Desactualización.</t>
  </si>
  <si>
    <t>Mantener automatizada.</t>
  </si>
  <si>
    <t>Revisión de entregables desarrollados.</t>
  </si>
  <si>
    <t>Criterios claros.</t>
  </si>
  <si>
    <t>Omisión de requisitos.</t>
  </si>
  <si>
    <t>Validar con stakeholders.</t>
  </si>
  <si>
    <t>Registro formal de solicitudes de cambio.</t>
  </si>
  <si>
    <t>Canal definido.</t>
  </si>
  <si>
    <t>Debe estar centralizada.</t>
  </si>
  <si>
    <t>Cambios no controlados.</t>
  </si>
  <si>
    <t>Aprobar vía comité de cambios.</t>
  </si>
  <si>
    <t>Actividades para desplegar, probar y cerrar el proyecto.</t>
  </si>
  <si>
    <t>Ambiente de producción disponible.</t>
  </si>
  <si>
    <t>Depende de pruebas previas.</t>
  </si>
  <si>
    <t>Errores en despliegue.</t>
  </si>
  <si>
    <t>Realizar piloto antes del cierre.</t>
  </si>
  <si>
    <t>Estrategia definitiva de validación.</t>
  </si>
  <si>
    <t>Casos de prueba listos.</t>
  </si>
  <si>
    <t>Debe cubrir todos los requisitos.</t>
  </si>
  <si>
    <t>Defectos tardíos.</t>
  </si>
  <si>
    <t>Incluir pruebas de carga.</t>
  </si>
  <si>
    <t>Ejecución de Pruebas</t>
  </si>
  <si>
    <t>Validación en ambiente real.</t>
  </si>
  <si>
    <t>Datos de prueba disponibles.</t>
  </si>
  <si>
    <t>Debe cumplir plazos.</t>
  </si>
  <si>
    <t>Errores críticos.</t>
  </si>
  <si>
    <t>Documentar resultados.</t>
  </si>
  <si>
    <t>Reporte de Estatus Final</t>
  </si>
  <si>
    <t>Informe del estado global del proyecto.</t>
  </si>
  <si>
    <t>Toda la información recopilada.</t>
  </si>
  <si>
    <t>Debe ser validado.</t>
  </si>
  <si>
    <t>Datos incompletos.</t>
  </si>
  <si>
    <t>Servirá de base para cierre.</t>
  </si>
  <si>
    <t>Plan de Implantación</t>
  </si>
  <si>
    <t>Estrategia de despliegue en producción.</t>
  </si>
  <si>
    <t>Debe minimizar interrupciones.</t>
  </si>
  <si>
    <t>Fallos en producción.</t>
  </si>
  <si>
    <t>Desplegar por fases.</t>
  </si>
  <si>
    <t>Estrategia de mantenimiento post-implementación.</t>
  </si>
  <si>
    <t>Recursos definidos.</t>
  </si>
  <si>
    <t>Limitado al alcance del proyecto.</t>
  </si>
  <si>
    <t>Incidencias no previstas.</t>
  </si>
  <si>
    <t>Incluir plan de contingencia.</t>
  </si>
  <si>
    <t>Plan de formación para usuarios y administradores.</t>
  </si>
  <si>
    <t>Tiempo limitado para capacitaciones.</t>
  </si>
  <si>
    <t>Baja adopción.</t>
  </si>
  <si>
    <t>Capacitación práctica.</t>
  </si>
  <si>
    <t>Manuales de Usuario y Administrador</t>
  </si>
  <si>
    <t>Documentación técnica y funcional del sistema.</t>
  </si>
  <si>
    <t>Herramientas de documentación disponibles.</t>
  </si>
  <si>
    <t>Deben ser claros y completos.</t>
  </si>
  <si>
    <t>Mala redacción dificulta uso.</t>
  </si>
  <si>
    <t>Revisar con usuarios.</t>
  </si>
  <si>
    <t>Informe de Cierre</t>
  </si>
  <si>
    <t>Documento final que valida cumplimiento de objetivos.</t>
  </si>
  <si>
    <t>Información consolidada.</t>
  </si>
  <si>
    <t>Debe estar validado por dirección.</t>
  </si>
  <si>
    <t>Rechazo del cierre.</t>
  </si>
  <si>
    <t>Sirve como base para lecciones aprendidas.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</si>
</sst>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 ;\-0\ "/>
    <numFmt numFmtId="165" formatCode="_ &quot;$&quot;* #,##0_ ;_ &quot;$&quot;* \-#,##0_ ;_ &quot;$&quot;* &quot;-&quot;_ ;_ @_ "/>
    <numFmt numFmtId="166" formatCode="&quot;$&quot;#,##0;[Red]&quot;$&quot;\-#,##0"/>
    <numFmt numFmtId="167" formatCode="d.m"/>
  </numFmts>
  <fonts count="7">
    <font>
      <sz val="11.0"/>
      <color theme="1"/>
      <name val="Calibri"/>
      <scheme val="minor"/>
    </font>
    <font>
      <sz val="14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3" fontId="3" numFmtId="0" xfId="0" applyBorder="1" applyFont="1"/>
    <xf borderId="4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right" readingOrder="0"/>
    </xf>
    <xf borderId="4" fillId="0" fontId="3" numFmtId="0" xfId="0" applyBorder="1" applyFont="1"/>
    <xf borderId="4" fillId="0" fontId="3" numFmtId="0" xfId="0" applyAlignment="1" applyBorder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3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right" readingOrder="0"/>
    </xf>
    <xf borderId="8" fillId="3" fontId="3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4" fillId="0" fontId="3" numFmtId="3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0" fontId="3" numFmtId="165" xfId="0" applyBorder="1" applyFont="1" applyNumberFormat="1"/>
    <xf borderId="4" fillId="4" fontId="5" numFmtId="0" xfId="0" applyBorder="1" applyFill="1" applyFont="1"/>
    <xf borderId="4" fillId="4" fontId="5" numFmtId="165" xfId="0" applyBorder="1" applyFont="1" applyNumberFormat="1"/>
    <xf borderId="5" fillId="0" fontId="3" numFmtId="0" xfId="0" applyAlignment="1" applyBorder="1" applyFont="1">
      <alignment horizontal="center" readingOrder="0"/>
    </xf>
    <xf borderId="4" fillId="0" fontId="3" numFmtId="9" xfId="0" applyAlignment="1" applyBorder="1" applyFont="1" applyNumberFormat="1">
      <alignment readingOrder="0"/>
    </xf>
    <xf borderId="4" fillId="0" fontId="3" numFmtId="166" xfId="0" applyBorder="1" applyFont="1" applyNumberFormat="1"/>
    <xf borderId="11" fillId="0" fontId="6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horizontal="center" readingOrder="0" shrinkToFit="0" vertical="center" wrapText="0"/>
    </xf>
    <xf borderId="13" fillId="0" fontId="6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right" shrinkToFit="0" vertical="bottom" wrapText="0"/>
    </xf>
    <xf borderId="4" fillId="0" fontId="4" numFmtId="0" xfId="0" applyAlignment="1" applyBorder="1" applyFont="1">
      <alignment readingOrder="0" shrinkToFit="0" vertical="center" wrapText="0"/>
    </xf>
    <xf borderId="4" fillId="0" fontId="3" numFmtId="167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iccionario ED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1" displayName="Tabla_1" name="Tabla_1" id="1">
  <tableColumns count="8">
    <tableColumn name="Nivel" id="1"/>
    <tableColumn name="Código EDT" id="2"/>
    <tableColumn name="Nombre de elemento" id="3"/>
    <tableColumn name="Definición" id="4"/>
    <tableColumn name="Supuestos" id="5"/>
    <tableColumn name="Restricciones" id="6"/>
    <tableColumn name="Riesgos" id="7"/>
    <tableColumn name="Consideraciones" id="8"/>
  </tableColumns>
  <tableStyleInfo name="Diccionario ED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8.14"/>
    <col customWidth="1" min="2" max="2" width="7.43"/>
    <col customWidth="1" min="3" max="3" width="10.71"/>
    <col customWidth="1" min="4" max="4" width="12.86"/>
    <col customWidth="1" min="5" max="5" width="9.14"/>
    <col customWidth="1" min="6" max="6" width="15.0"/>
    <col customWidth="1" min="7" max="7" width="12.57"/>
    <col customWidth="1" min="8" max="8" width="5.0"/>
    <col customWidth="1" min="9" max="9" width="23.29"/>
    <col customWidth="1" min="10" max="10" width="29.71"/>
    <col customWidth="1" min="11" max="26" width="10.71"/>
  </cols>
  <sheetData>
    <row r="2">
      <c r="A2" s="1" t="s">
        <v>0</v>
      </c>
      <c r="B2" s="2"/>
      <c r="C2" s="2"/>
      <c r="D2" s="3"/>
    </row>
    <row r="4">
      <c r="B4" s="4" t="s">
        <v>1</v>
      </c>
      <c r="C4" s="5" t="s">
        <v>2</v>
      </c>
      <c r="D4" s="6"/>
      <c r="E4" s="6"/>
      <c r="F4" s="6"/>
      <c r="G4" s="7"/>
      <c r="I4" s="5" t="s">
        <v>3</v>
      </c>
      <c r="J4" s="7"/>
    </row>
    <row r="5">
      <c r="A5" s="8" t="s">
        <v>4</v>
      </c>
      <c r="B5" s="9"/>
      <c r="C5" s="10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I5" s="12" t="s">
        <v>10</v>
      </c>
      <c r="J5" s="12" t="s">
        <v>11</v>
      </c>
    </row>
    <row r="6" outlineLevel="1">
      <c r="A6" s="13" t="s">
        <v>12</v>
      </c>
      <c r="B6" s="14">
        <v>3.0</v>
      </c>
      <c r="C6" s="14">
        <v>10.0</v>
      </c>
      <c r="D6" s="14">
        <v>0.0</v>
      </c>
      <c r="E6" s="14">
        <v>0.0</v>
      </c>
      <c r="F6" s="14">
        <v>6.0</v>
      </c>
      <c r="G6" s="14">
        <v>0.0</v>
      </c>
      <c r="I6" s="15" t="s">
        <v>5</v>
      </c>
      <c r="J6" s="13" t="s">
        <v>13</v>
      </c>
    </row>
    <row r="7" outlineLevel="1">
      <c r="A7" s="13" t="s">
        <v>14</v>
      </c>
      <c r="B7" s="14">
        <v>3.0</v>
      </c>
      <c r="C7" s="14">
        <v>8.0</v>
      </c>
      <c r="D7" s="14">
        <v>0.0</v>
      </c>
      <c r="E7" s="14">
        <v>0.0</v>
      </c>
      <c r="F7" s="14">
        <v>8.0</v>
      </c>
      <c r="G7" s="14">
        <v>0.0</v>
      </c>
      <c r="I7" s="13" t="s">
        <v>6</v>
      </c>
      <c r="J7" s="16" t="s">
        <v>15</v>
      </c>
    </row>
    <row r="8" outlineLevel="1">
      <c r="A8" s="13" t="s">
        <v>16</v>
      </c>
      <c r="B8" s="14">
        <v>2.0</v>
      </c>
      <c r="C8" s="14">
        <v>10.0</v>
      </c>
      <c r="D8" s="14">
        <v>0.0</v>
      </c>
      <c r="E8" s="14">
        <v>0.0</v>
      </c>
      <c r="F8" s="14">
        <v>4.0</v>
      </c>
      <c r="G8" s="14">
        <v>0.0</v>
      </c>
      <c r="I8" s="13" t="s">
        <v>7</v>
      </c>
      <c r="J8" s="13" t="s">
        <v>17</v>
      </c>
    </row>
    <row r="9" outlineLevel="1">
      <c r="A9" s="13" t="s">
        <v>18</v>
      </c>
      <c r="B9" s="14">
        <v>2.0</v>
      </c>
      <c r="C9" s="14">
        <v>6.0</v>
      </c>
      <c r="D9" s="14">
        <v>0.0</v>
      </c>
      <c r="E9" s="14">
        <v>0.0</v>
      </c>
      <c r="F9" s="14">
        <v>4.0</v>
      </c>
      <c r="G9" s="14">
        <v>0.0</v>
      </c>
      <c r="I9" s="13" t="s">
        <v>8</v>
      </c>
      <c r="J9" s="13" t="s">
        <v>19</v>
      </c>
    </row>
    <row r="10" outlineLevel="1">
      <c r="A10" s="13" t="s">
        <v>20</v>
      </c>
      <c r="B10" s="14">
        <v>3.0</v>
      </c>
      <c r="C10" s="14">
        <v>6.0</v>
      </c>
      <c r="D10" s="14">
        <v>0.0</v>
      </c>
      <c r="E10" s="14">
        <v>0.0</v>
      </c>
      <c r="F10" s="14">
        <v>8.0</v>
      </c>
      <c r="G10" s="14">
        <v>0.0</v>
      </c>
      <c r="I10" s="13" t="s">
        <v>9</v>
      </c>
      <c r="J10" s="13" t="s">
        <v>21</v>
      </c>
    </row>
    <row r="11" outlineLevel="1">
      <c r="A11" s="13" t="s">
        <v>22</v>
      </c>
      <c r="B11" s="14">
        <v>2.0</v>
      </c>
      <c r="C11" s="14">
        <v>2.0</v>
      </c>
      <c r="D11" s="14">
        <v>0.0</v>
      </c>
      <c r="E11" s="14">
        <v>4.0</v>
      </c>
      <c r="F11" s="14">
        <v>4.0</v>
      </c>
      <c r="G11" s="14">
        <v>0.0</v>
      </c>
      <c r="I11" s="17"/>
      <c r="J11" s="18"/>
    </row>
    <row r="12">
      <c r="A12" s="9" t="s">
        <v>23</v>
      </c>
      <c r="B12" s="12"/>
      <c r="C12" s="10" t="s">
        <v>5</v>
      </c>
      <c r="D12" s="11" t="s">
        <v>6</v>
      </c>
      <c r="E12" s="11" t="s">
        <v>7</v>
      </c>
      <c r="F12" s="11" t="s">
        <v>8</v>
      </c>
      <c r="G12" s="11" t="s">
        <v>9</v>
      </c>
    </row>
    <row r="13" outlineLevel="1">
      <c r="A13" s="13" t="s">
        <v>24</v>
      </c>
      <c r="B13" s="14">
        <v>4.0</v>
      </c>
      <c r="C13" s="14">
        <v>8.0</v>
      </c>
      <c r="D13" s="14">
        <v>2.0</v>
      </c>
      <c r="E13" s="14">
        <v>0.0</v>
      </c>
      <c r="F13" s="14">
        <v>12.0</v>
      </c>
      <c r="G13" s="14">
        <v>2.0</v>
      </c>
    </row>
    <row r="14" outlineLevel="1">
      <c r="A14" s="13" t="s">
        <v>25</v>
      </c>
      <c r="B14" s="14">
        <v>3.0</v>
      </c>
      <c r="C14" s="14">
        <v>4.0</v>
      </c>
      <c r="D14" s="14">
        <v>0.0</v>
      </c>
      <c r="E14" s="14">
        <v>0.0</v>
      </c>
      <c r="F14" s="14">
        <v>14.0</v>
      </c>
      <c r="G14" s="14">
        <v>2.0</v>
      </c>
    </row>
    <row r="15" outlineLevel="1">
      <c r="A15" s="13" t="s">
        <v>26</v>
      </c>
      <c r="B15" s="14">
        <v>2.0</v>
      </c>
      <c r="C15" s="14">
        <v>10.0</v>
      </c>
      <c r="D15" s="14">
        <v>0.0</v>
      </c>
      <c r="E15" s="14">
        <v>0.0</v>
      </c>
      <c r="F15" s="14">
        <v>4.0</v>
      </c>
      <c r="G15" s="14">
        <v>0.0</v>
      </c>
    </row>
    <row r="16" outlineLevel="1">
      <c r="A16" s="13" t="s">
        <v>27</v>
      </c>
      <c r="B16" s="14">
        <v>4.0</v>
      </c>
      <c r="C16" s="14">
        <v>4.0</v>
      </c>
      <c r="D16" s="14">
        <v>12.0</v>
      </c>
      <c r="E16" s="14">
        <v>0.0</v>
      </c>
      <c r="F16" s="14">
        <v>6.0</v>
      </c>
      <c r="G16" s="14">
        <v>0.0</v>
      </c>
    </row>
    <row r="17" outlineLevel="1">
      <c r="A17" s="13" t="s">
        <v>28</v>
      </c>
      <c r="B17" s="14">
        <v>2.0</v>
      </c>
      <c r="C17" s="14">
        <v>6.0</v>
      </c>
      <c r="D17" s="14">
        <v>0.0</v>
      </c>
      <c r="E17" s="14">
        <v>0.0</v>
      </c>
      <c r="F17" s="14">
        <v>6.0</v>
      </c>
      <c r="G17" s="14">
        <v>0.0</v>
      </c>
    </row>
    <row r="18" outlineLevel="1">
      <c r="A18" s="13" t="s">
        <v>29</v>
      </c>
      <c r="B18" s="14">
        <v>2.0</v>
      </c>
      <c r="C18" s="14">
        <v>4.0</v>
      </c>
      <c r="D18" s="14">
        <v>0.0</v>
      </c>
      <c r="E18" s="14">
        <v>0.0</v>
      </c>
      <c r="F18" s="14">
        <v>6.0</v>
      </c>
      <c r="G18" s="14">
        <v>0.0</v>
      </c>
    </row>
    <row r="19" outlineLevel="1">
      <c r="A19" s="13" t="s">
        <v>30</v>
      </c>
      <c r="B19" s="14">
        <v>1.0</v>
      </c>
      <c r="C19" s="14">
        <v>4.0</v>
      </c>
      <c r="D19" s="14">
        <v>0.0</v>
      </c>
      <c r="E19" s="14">
        <v>0.0</v>
      </c>
      <c r="F19" s="14">
        <v>2.0</v>
      </c>
      <c r="G19" s="14">
        <v>0.0</v>
      </c>
    </row>
    <row r="20" outlineLevel="1">
      <c r="A20" s="19" t="s">
        <v>31</v>
      </c>
      <c r="B20" s="14">
        <v>1.0</v>
      </c>
      <c r="C20" s="14">
        <v>3.0</v>
      </c>
      <c r="D20" s="14">
        <v>0.0</v>
      </c>
      <c r="E20" s="14">
        <v>0.0</v>
      </c>
      <c r="F20" s="14">
        <v>3.0</v>
      </c>
      <c r="G20" s="14">
        <v>0.0</v>
      </c>
    </row>
    <row r="21" outlineLevel="1">
      <c r="A21" s="19" t="s">
        <v>32</v>
      </c>
      <c r="B21" s="14">
        <v>3.0</v>
      </c>
      <c r="C21" s="14">
        <v>4.0</v>
      </c>
      <c r="D21" s="14">
        <v>0.0</v>
      </c>
      <c r="E21" s="14">
        <v>0.0</v>
      </c>
      <c r="F21" s="14">
        <v>12.0</v>
      </c>
      <c r="G21" s="14">
        <v>0.0</v>
      </c>
    </row>
    <row r="22" outlineLevel="1">
      <c r="A22" s="19" t="s">
        <v>33</v>
      </c>
      <c r="B22" s="14">
        <v>3.0</v>
      </c>
      <c r="C22" s="14">
        <v>2.0</v>
      </c>
      <c r="D22" s="14">
        <v>0.0</v>
      </c>
      <c r="E22" s="14">
        <v>0.0</v>
      </c>
      <c r="F22" s="14">
        <v>16.0</v>
      </c>
      <c r="G22" s="14">
        <v>0.0</v>
      </c>
    </row>
    <row r="23" outlineLevel="1">
      <c r="A23" s="19" t="s">
        <v>34</v>
      </c>
      <c r="B23" s="14">
        <v>2.0</v>
      </c>
      <c r="C23" s="14">
        <v>4.0</v>
      </c>
      <c r="D23" s="14">
        <v>0.0</v>
      </c>
      <c r="E23" s="14">
        <v>2.0</v>
      </c>
      <c r="F23" s="14">
        <v>6.0</v>
      </c>
      <c r="G23" s="14">
        <v>0.0</v>
      </c>
    </row>
    <row r="24" outlineLevel="1">
      <c r="A24" s="19" t="s">
        <v>35</v>
      </c>
      <c r="B24" s="14">
        <v>2.0</v>
      </c>
      <c r="C24" s="14">
        <v>2.0</v>
      </c>
      <c r="D24" s="14">
        <v>0.0</v>
      </c>
      <c r="E24" s="14">
        <v>0.0</v>
      </c>
      <c r="F24" s="14">
        <v>10.0</v>
      </c>
      <c r="G24" s="14">
        <v>0.0</v>
      </c>
      <c r="J24" s="20" t="s">
        <v>36</v>
      </c>
    </row>
    <row r="25" outlineLevel="1">
      <c r="A25" s="19" t="s">
        <v>37</v>
      </c>
      <c r="B25" s="14">
        <v>3.0</v>
      </c>
      <c r="C25" s="14">
        <v>2.0</v>
      </c>
      <c r="D25" s="14">
        <v>0.0</v>
      </c>
      <c r="E25" s="14">
        <v>0.0</v>
      </c>
      <c r="F25" s="14">
        <v>6.0</v>
      </c>
      <c r="G25" s="14">
        <v>10.0</v>
      </c>
    </row>
    <row r="26" outlineLevel="1">
      <c r="A26" s="19" t="s">
        <v>38</v>
      </c>
      <c r="B26" s="14">
        <v>2.0</v>
      </c>
      <c r="C26" s="14">
        <v>0.0</v>
      </c>
      <c r="D26" s="14">
        <v>0.0</v>
      </c>
      <c r="E26" s="14">
        <v>0.0</v>
      </c>
      <c r="F26" s="14">
        <v>4.0</v>
      </c>
      <c r="G26" s="14">
        <v>8.0</v>
      </c>
    </row>
    <row r="27" outlineLevel="1">
      <c r="A27" s="19" t="s">
        <v>39</v>
      </c>
      <c r="B27" s="14">
        <v>2.0</v>
      </c>
      <c r="C27" s="14">
        <v>2.0</v>
      </c>
      <c r="D27" s="14">
        <v>0.0</v>
      </c>
      <c r="E27" s="14">
        <v>0.0</v>
      </c>
      <c r="F27" s="14">
        <v>4.0</v>
      </c>
      <c r="G27" s="14">
        <v>6.0</v>
      </c>
    </row>
    <row r="28" outlineLevel="1">
      <c r="A28" s="19" t="s">
        <v>40</v>
      </c>
      <c r="B28" s="14">
        <v>2.0</v>
      </c>
      <c r="C28" s="14">
        <v>0.0</v>
      </c>
      <c r="D28" s="14">
        <v>4.0</v>
      </c>
      <c r="E28" s="14">
        <v>0.0</v>
      </c>
      <c r="F28" s="14">
        <v>10.0</v>
      </c>
      <c r="G28" s="14">
        <v>4.0</v>
      </c>
    </row>
    <row r="29">
      <c r="A29" s="8" t="s">
        <v>41</v>
      </c>
      <c r="B29" s="12"/>
      <c r="C29" s="10" t="s">
        <v>5</v>
      </c>
      <c r="D29" s="11" t="s">
        <v>6</v>
      </c>
      <c r="E29" s="11" t="s">
        <v>7</v>
      </c>
      <c r="F29" s="11" t="s">
        <v>8</v>
      </c>
      <c r="G29" s="11" t="s">
        <v>9</v>
      </c>
    </row>
    <row r="30" ht="18.0" customHeight="1" outlineLevel="1">
      <c r="A30" s="19" t="s">
        <v>42</v>
      </c>
      <c r="B30" s="14">
        <v>3.0</v>
      </c>
      <c r="C30" s="14">
        <v>2.0</v>
      </c>
      <c r="D30" s="14">
        <v>6.0</v>
      </c>
      <c r="E30" s="14">
        <v>0.0</v>
      </c>
      <c r="F30" s="14">
        <v>6.0</v>
      </c>
      <c r="G30" s="14">
        <v>6.0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8.0" customHeight="1" outlineLevel="1">
      <c r="A31" s="19" t="s">
        <v>43</v>
      </c>
      <c r="B31" s="14">
        <v>5.0</v>
      </c>
      <c r="C31" s="14">
        <v>0.0</v>
      </c>
      <c r="D31" s="14">
        <v>0.0</v>
      </c>
      <c r="E31" s="14">
        <v>0.0</v>
      </c>
      <c r="F31" s="14">
        <v>6.0</v>
      </c>
      <c r="G31" s="14">
        <v>22.0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8.0" customHeight="1" outlineLevel="1">
      <c r="A32" s="19" t="s">
        <v>44</v>
      </c>
      <c r="B32" s="14">
        <v>8.0</v>
      </c>
      <c r="C32" s="14">
        <v>10.0</v>
      </c>
      <c r="D32" s="14">
        <v>0.0</v>
      </c>
      <c r="E32" s="14">
        <v>0.0</v>
      </c>
      <c r="F32" s="14">
        <v>0.0</v>
      </c>
      <c r="G32" s="14">
        <v>0.0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8.0" customHeight="1" outlineLevel="1">
      <c r="A33" s="21" t="s">
        <v>45</v>
      </c>
      <c r="B33" s="14">
        <v>8.0</v>
      </c>
      <c r="C33" s="14">
        <v>10.0</v>
      </c>
      <c r="D33" s="14">
        <v>0.0</v>
      </c>
      <c r="E33" s="14">
        <v>0.0</v>
      </c>
      <c r="F33" s="14">
        <v>0.0</v>
      </c>
      <c r="G33" s="14">
        <v>0.0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8.0" customHeight="1" outlineLevel="1">
      <c r="A34" s="21" t="s">
        <v>46</v>
      </c>
      <c r="B34" s="14">
        <v>3.0</v>
      </c>
      <c r="C34" s="14">
        <v>6.0</v>
      </c>
      <c r="D34" s="14">
        <v>0.0</v>
      </c>
      <c r="E34" s="14">
        <v>2.0</v>
      </c>
      <c r="F34" s="14">
        <v>4.0</v>
      </c>
      <c r="G34" s="14">
        <v>0.0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8.0" customHeight="1" outlineLevel="1">
      <c r="A35" s="21" t="s">
        <v>47</v>
      </c>
      <c r="B35" s="14">
        <v>6.0</v>
      </c>
      <c r="C35" s="14">
        <v>8.0</v>
      </c>
      <c r="D35" s="14">
        <v>0.0</v>
      </c>
      <c r="E35" s="14">
        <v>0.0</v>
      </c>
      <c r="F35" s="14">
        <v>0.0</v>
      </c>
      <c r="G35" s="14">
        <v>0.0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 outlineLevel="1">
      <c r="A36" s="9" t="s">
        <v>48</v>
      </c>
      <c r="B36" s="9"/>
      <c r="C36" s="10" t="s">
        <v>5</v>
      </c>
      <c r="D36" s="11" t="s">
        <v>6</v>
      </c>
      <c r="E36" s="11" t="s">
        <v>7</v>
      </c>
      <c r="F36" s="11" t="s">
        <v>8</v>
      </c>
      <c r="G36" s="11" t="s">
        <v>9</v>
      </c>
    </row>
    <row r="37" ht="15.75" customHeight="1">
      <c r="A37" s="13" t="s">
        <v>49</v>
      </c>
      <c r="B37" s="14">
        <v>2.0</v>
      </c>
      <c r="C37" s="14">
        <v>2.0</v>
      </c>
      <c r="D37" s="14">
        <v>0.0</v>
      </c>
      <c r="E37" s="14">
        <v>6.0</v>
      </c>
      <c r="F37" s="14">
        <v>2.0</v>
      </c>
      <c r="G37" s="14">
        <v>0.0</v>
      </c>
    </row>
    <row r="38" ht="15.75" customHeight="1" outlineLevel="1">
      <c r="A38" s="13" t="s">
        <v>50</v>
      </c>
      <c r="B38" s="14">
        <v>10.0</v>
      </c>
      <c r="C38" s="14">
        <v>4.0</v>
      </c>
      <c r="D38" s="14">
        <v>8.0</v>
      </c>
      <c r="E38" s="14">
        <v>32.0</v>
      </c>
      <c r="F38" s="14">
        <v>4.0</v>
      </c>
      <c r="G38" s="14">
        <v>16.0</v>
      </c>
    </row>
    <row r="39" ht="15.75" customHeight="1" outlineLevel="1">
      <c r="A39" s="13" t="s">
        <v>51</v>
      </c>
      <c r="B39" s="14">
        <v>2.0</v>
      </c>
      <c r="C39" s="14">
        <v>8.0</v>
      </c>
      <c r="D39" s="14">
        <v>0.0</v>
      </c>
      <c r="E39" s="14">
        <v>0.0</v>
      </c>
      <c r="F39" s="14">
        <v>2.0</v>
      </c>
      <c r="G39" s="14">
        <v>0.0</v>
      </c>
    </row>
    <row r="40" ht="15.75" customHeight="1" outlineLevel="1">
      <c r="A40" s="13" t="s">
        <v>52</v>
      </c>
      <c r="B40" s="14">
        <v>3.0</v>
      </c>
      <c r="C40" s="14">
        <v>4.0</v>
      </c>
      <c r="D40" s="14">
        <v>2.0</v>
      </c>
      <c r="E40" s="14">
        <v>2.0</v>
      </c>
      <c r="F40" s="14">
        <v>6.0</v>
      </c>
      <c r="G40" s="14">
        <v>8.0</v>
      </c>
    </row>
    <row r="41" ht="15.75" customHeight="1" outlineLevel="1">
      <c r="A41" s="13" t="s">
        <v>53</v>
      </c>
      <c r="B41" s="14">
        <v>1.0</v>
      </c>
      <c r="C41" s="14">
        <v>4.0</v>
      </c>
      <c r="D41" s="14">
        <v>0.0</v>
      </c>
      <c r="E41" s="14">
        <v>0.0</v>
      </c>
      <c r="F41" s="14">
        <v>2.0</v>
      </c>
      <c r="G41" s="14">
        <v>0.0</v>
      </c>
    </row>
    <row r="42" ht="15.75" customHeight="1">
      <c r="A42" s="19" t="s">
        <v>54</v>
      </c>
      <c r="B42" s="22">
        <v>2.0</v>
      </c>
      <c r="C42" s="22">
        <v>6.0</v>
      </c>
      <c r="D42" s="22">
        <v>2.0</v>
      </c>
      <c r="E42" s="22">
        <v>0.0</v>
      </c>
      <c r="F42" s="22">
        <v>2.0</v>
      </c>
      <c r="G42" s="22">
        <v>0.0</v>
      </c>
    </row>
    <row r="43" ht="15.75" customHeight="1">
      <c r="A43" s="19" t="s">
        <v>55</v>
      </c>
      <c r="B43" s="22">
        <v>3.0</v>
      </c>
      <c r="C43" s="22">
        <v>6.0</v>
      </c>
      <c r="D43" s="22">
        <v>4.0</v>
      </c>
      <c r="E43" s="22">
        <v>0.0</v>
      </c>
      <c r="F43" s="22">
        <v>4.0</v>
      </c>
      <c r="G43" s="22">
        <v>2.0</v>
      </c>
    </row>
    <row r="44" ht="15.75" customHeight="1">
      <c r="A44" s="19" t="s">
        <v>56</v>
      </c>
      <c r="B44" s="22">
        <v>2.0</v>
      </c>
      <c r="C44" s="22">
        <v>8.0</v>
      </c>
      <c r="D44" s="22">
        <v>0.0</v>
      </c>
      <c r="E44" s="22">
        <v>0.0</v>
      </c>
      <c r="F44" s="22">
        <v>2.0</v>
      </c>
      <c r="G44" s="22">
        <v>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2:D2"/>
    <mergeCell ref="C4:G4"/>
    <mergeCell ref="I4:J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30.43"/>
    <col customWidth="1" min="9" max="9" width="48.43"/>
    <col customWidth="1" min="10" max="10" width="17.71"/>
    <col customWidth="1" min="11" max="11" width="15.29"/>
    <col customWidth="1" min="12" max="26" width="10.71"/>
  </cols>
  <sheetData>
    <row r="2">
      <c r="A2" s="12" t="s">
        <v>57</v>
      </c>
      <c r="B2" s="12" t="s">
        <v>58</v>
      </c>
      <c r="C2" s="12" t="s">
        <v>59</v>
      </c>
      <c r="D2" s="10" t="s">
        <v>60</v>
      </c>
      <c r="E2" s="12" t="s">
        <v>61</v>
      </c>
      <c r="F2" s="12" t="s">
        <v>62</v>
      </c>
      <c r="H2" s="23" t="s">
        <v>63</v>
      </c>
      <c r="I2" s="24"/>
      <c r="J2" s="24"/>
      <c r="K2" s="25"/>
    </row>
    <row r="3">
      <c r="A3" s="15" t="s">
        <v>64</v>
      </c>
      <c r="B3" s="15" t="s">
        <v>5</v>
      </c>
      <c r="C3" s="13" t="s">
        <v>13</v>
      </c>
      <c r="D3" s="26">
        <v>12222.0</v>
      </c>
      <c r="E3" s="27">
        <f>SUM(EDT!C6:C11)</f>
        <v>42</v>
      </c>
      <c r="F3" s="28">
        <f t="shared" ref="F3:F7" si="1">D3*E3</f>
        <v>513324</v>
      </c>
      <c r="H3" s="12" t="s">
        <v>58</v>
      </c>
      <c r="I3" s="12" t="s">
        <v>59</v>
      </c>
      <c r="J3" s="12" t="s">
        <v>65</v>
      </c>
      <c r="K3" s="12" t="s">
        <v>66</v>
      </c>
    </row>
    <row r="4">
      <c r="A4" s="13" t="s">
        <v>67</v>
      </c>
      <c r="B4" s="13" t="s">
        <v>6</v>
      </c>
      <c r="C4" s="16" t="s">
        <v>15</v>
      </c>
      <c r="D4" s="26">
        <v>6667.0</v>
      </c>
      <c r="E4" s="27">
        <f>SUM(EDT!D6:D11)</f>
        <v>0</v>
      </c>
      <c r="F4" s="28">
        <f t="shared" si="1"/>
        <v>0</v>
      </c>
      <c r="H4" s="15" t="s">
        <v>5</v>
      </c>
      <c r="I4" s="13" t="s">
        <v>13</v>
      </c>
      <c r="J4" s="26">
        <f t="shared" ref="J4:J8" si="2">K4/20/9</f>
        <v>12222.22222</v>
      </c>
      <c r="K4" s="26">
        <v>2200000.0</v>
      </c>
    </row>
    <row r="5">
      <c r="A5" s="13" t="s">
        <v>68</v>
      </c>
      <c r="B5" s="13" t="s">
        <v>7</v>
      </c>
      <c r="C5" s="13" t="s">
        <v>17</v>
      </c>
      <c r="D5" s="26">
        <v>5000.0</v>
      </c>
      <c r="E5" s="27">
        <f>SUM(EDT!E6:E11)</f>
        <v>4</v>
      </c>
      <c r="F5" s="28">
        <f t="shared" si="1"/>
        <v>20000</v>
      </c>
      <c r="H5" s="13" t="s">
        <v>6</v>
      </c>
      <c r="I5" s="16" t="s">
        <v>15</v>
      </c>
      <c r="J5" s="26">
        <f t="shared" si="2"/>
        <v>6666.666667</v>
      </c>
      <c r="K5" s="26">
        <v>1200000.0</v>
      </c>
    </row>
    <row r="6">
      <c r="A6" s="13" t="s">
        <v>69</v>
      </c>
      <c r="B6" s="13" t="s">
        <v>8</v>
      </c>
      <c r="C6" s="13" t="s">
        <v>19</v>
      </c>
      <c r="D6" s="26">
        <v>9056.0</v>
      </c>
      <c r="E6" s="27">
        <f>SUM(EDT!F6:F11)</f>
        <v>34</v>
      </c>
      <c r="F6" s="28">
        <f t="shared" si="1"/>
        <v>307904</v>
      </c>
      <c r="H6" s="13" t="s">
        <v>7</v>
      </c>
      <c r="I6" s="13" t="s">
        <v>17</v>
      </c>
      <c r="J6" s="26">
        <f t="shared" si="2"/>
        <v>5000</v>
      </c>
      <c r="K6" s="26">
        <v>900000.0</v>
      </c>
    </row>
    <row r="7">
      <c r="A7" s="13" t="s">
        <v>70</v>
      </c>
      <c r="B7" s="13" t="s">
        <v>9</v>
      </c>
      <c r="C7" s="13" t="s">
        <v>21</v>
      </c>
      <c r="D7" s="26">
        <v>6667.0</v>
      </c>
      <c r="E7" s="27">
        <f>SUM(EDT!G6:G11)</f>
        <v>0</v>
      </c>
      <c r="F7" s="28">
        <f t="shared" si="1"/>
        <v>0</v>
      </c>
      <c r="H7" s="13" t="s">
        <v>8</v>
      </c>
      <c r="I7" s="13" t="s">
        <v>19</v>
      </c>
      <c r="J7" s="26">
        <f t="shared" si="2"/>
        <v>9055.555556</v>
      </c>
      <c r="K7" s="26">
        <v>1630000.0</v>
      </c>
    </row>
    <row r="8">
      <c r="A8" s="15"/>
      <c r="B8" s="5" t="s">
        <v>71</v>
      </c>
      <c r="C8" s="6"/>
      <c r="D8" s="6"/>
      <c r="E8" s="7"/>
      <c r="F8" s="28">
        <f>SUM(F3:F7)</f>
        <v>841228</v>
      </c>
      <c r="H8" s="13" t="s">
        <v>9</v>
      </c>
      <c r="I8" s="13" t="s">
        <v>21</v>
      </c>
      <c r="J8" s="26">
        <f t="shared" si="2"/>
        <v>6666.666667</v>
      </c>
      <c r="K8" s="26">
        <v>1200000.0</v>
      </c>
    </row>
    <row r="11">
      <c r="A11" s="12" t="s">
        <v>57</v>
      </c>
      <c r="B11" s="12" t="s">
        <v>58</v>
      </c>
      <c r="C11" s="12" t="s">
        <v>59</v>
      </c>
      <c r="D11" s="10" t="s">
        <v>72</v>
      </c>
      <c r="E11" s="12" t="s">
        <v>61</v>
      </c>
      <c r="F11" s="12" t="s">
        <v>73</v>
      </c>
      <c r="H11" s="23" t="s">
        <v>74</v>
      </c>
      <c r="I11" s="25"/>
    </row>
    <row r="12">
      <c r="A12" s="15" t="s">
        <v>64</v>
      </c>
      <c r="B12" s="15" t="s">
        <v>5</v>
      </c>
      <c r="C12" s="13" t="s">
        <v>13</v>
      </c>
      <c r="D12" s="26">
        <v>12222.0</v>
      </c>
      <c r="E12" s="27">
        <f>SUM(EDT!C13:C28)</f>
        <v>59</v>
      </c>
      <c r="F12" s="28">
        <f t="shared" ref="F12:F16" si="3">D12*E12</f>
        <v>721098</v>
      </c>
      <c r="H12" s="15" t="s">
        <v>5</v>
      </c>
      <c r="I12" s="28">
        <f t="shared" ref="I12:I16" si="4">F3+F12+F21+F30</f>
        <v>2187738</v>
      </c>
    </row>
    <row r="13">
      <c r="A13" s="13" t="s">
        <v>67</v>
      </c>
      <c r="B13" s="13" t="s">
        <v>6</v>
      </c>
      <c r="C13" s="16" t="s">
        <v>15</v>
      </c>
      <c r="D13" s="26">
        <v>6667.0</v>
      </c>
      <c r="E13" s="27">
        <f>SUM(EDT!D13:D28)</f>
        <v>18</v>
      </c>
      <c r="F13" s="28">
        <f t="shared" si="3"/>
        <v>120006</v>
      </c>
      <c r="H13" s="13" t="s">
        <v>6</v>
      </c>
      <c r="I13" s="28">
        <f t="shared" si="4"/>
        <v>266680</v>
      </c>
    </row>
    <row r="14">
      <c r="A14" s="13" t="s">
        <v>68</v>
      </c>
      <c r="B14" s="13" t="s">
        <v>7</v>
      </c>
      <c r="C14" s="13" t="s">
        <v>17</v>
      </c>
      <c r="D14" s="26">
        <v>5000.0</v>
      </c>
      <c r="E14" s="27">
        <f>SUM(EDT!E13:E28)</f>
        <v>2</v>
      </c>
      <c r="F14" s="28">
        <f t="shared" si="3"/>
        <v>10000</v>
      </c>
      <c r="H14" s="13" t="s">
        <v>7</v>
      </c>
      <c r="I14" s="28">
        <f t="shared" si="4"/>
        <v>240000</v>
      </c>
    </row>
    <row r="15">
      <c r="A15" s="13" t="s">
        <v>69</v>
      </c>
      <c r="B15" s="13" t="s">
        <v>8</v>
      </c>
      <c r="C15" s="13" t="s">
        <v>19</v>
      </c>
      <c r="D15" s="26">
        <v>9056.0</v>
      </c>
      <c r="E15" s="27">
        <f>SUM(EDT!F13:F28)</f>
        <v>121</v>
      </c>
      <c r="F15" s="28">
        <f t="shared" si="3"/>
        <v>1095776</v>
      </c>
      <c r="H15" s="13" t="s">
        <v>8</v>
      </c>
      <c r="I15" s="28">
        <f t="shared" si="4"/>
        <v>1765920</v>
      </c>
    </row>
    <row r="16">
      <c r="A16" s="13" t="s">
        <v>70</v>
      </c>
      <c r="B16" s="13" t="s">
        <v>9</v>
      </c>
      <c r="C16" s="13" t="s">
        <v>21</v>
      </c>
      <c r="D16" s="26">
        <v>6667.0</v>
      </c>
      <c r="E16" s="27">
        <f>SUM(EDT!G13:G28)</f>
        <v>32</v>
      </c>
      <c r="F16" s="28">
        <f t="shared" si="3"/>
        <v>213344</v>
      </c>
      <c r="H16" s="13" t="s">
        <v>9</v>
      </c>
      <c r="I16" s="28">
        <f t="shared" si="4"/>
        <v>573362</v>
      </c>
    </row>
    <row r="17">
      <c r="A17" s="15"/>
      <c r="B17" s="5" t="s">
        <v>75</v>
      </c>
      <c r="C17" s="6"/>
      <c r="D17" s="6"/>
      <c r="E17" s="7"/>
      <c r="F17" s="28">
        <f>SUM(F12:F16)</f>
        <v>2160224</v>
      </c>
      <c r="H17" s="29" t="s">
        <v>76</v>
      </c>
      <c r="I17" s="30">
        <f>SUM(I12:I16)</f>
        <v>5033700</v>
      </c>
    </row>
    <row r="20">
      <c r="A20" s="12" t="s">
        <v>57</v>
      </c>
      <c r="B20" s="12" t="s">
        <v>58</v>
      </c>
      <c r="C20" s="12" t="s">
        <v>59</v>
      </c>
      <c r="D20" s="10" t="s">
        <v>72</v>
      </c>
      <c r="E20" s="12" t="s">
        <v>61</v>
      </c>
      <c r="F20" s="12" t="s">
        <v>77</v>
      </c>
      <c r="H20" s="23" t="s">
        <v>78</v>
      </c>
      <c r="I20" s="25"/>
    </row>
    <row r="21" ht="15.75" customHeight="1">
      <c r="A21" s="15" t="s">
        <v>64</v>
      </c>
      <c r="B21" s="15" t="s">
        <v>5</v>
      </c>
      <c r="C21" s="13" t="s">
        <v>13</v>
      </c>
      <c r="D21" s="26">
        <v>12222.0</v>
      </c>
      <c r="E21" s="27">
        <f>SUM(EDT!C30:C35)</f>
        <v>36</v>
      </c>
      <c r="F21" s="28">
        <f t="shared" ref="F21:F25" si="5">D21*E21</f>
        <v>439992</v>
      </c>
      <c r="H21" s="13" t="s">
        <v>4</v>
      </c>
      <c r="I21" s="28">
        <f>F8</f>
        <v>841228</v>
      </c>
    </row>
    <row r="22" ht="15.75" customHeight="1">
      <c r="A22" s="13" t="s">
        <v>67</v>
      </c>
      <c r="B22" s="13" t="s">
        <v>6</v>
      </c>
      <c r="C22" s="16" t="s">
        <v>15</v>
      </c>
      <c r="D22" s="26">
        <v>6667.0</v>
      </c>
      <c r="E22" s="27">
        <f>SUM(EDT!D30:D35)</f>
        <v>6</v>
      </c>
      <c r="F22" s="28">
        <f t="shared" si="5"/>
        <v>40002</v>
      </c>
      <c r="H22" s="15" t="s">
        <v>79</v>
      </c>
      <c r="I22" s="28">
        <f>F17</f>
        <v>2160224</v>
      </c>
    </row>
    <row r="23" ht="15.75" customHeight="1">
      <c r="A23" s="13" t="s">
        <v>68</v>
      </c>
      <c r="B23" s="13" t="s">
        <v>7</v>
      </c>
      <c r="C23" s="13" t="s">
        <v>17</v>
      </c>
      <c r="D23" s="26">
        <v>5000.0</v>
      </c>
      <c r="E23" s="27">
        <f>SUM(EDT!E30:E35)</f>
        <v>2</v>
      </c>
      <c r="F23" s="28">
        <f t="shared" si="5"/>
        <v>10000</v>
      </c>
      <c r="H23" s="13" t="s">
        <v>41</v>
      </c>
      <c r="I23" s="28">
        <f>F26</f>
        <v>821566</v>
      </c>
    </row>
    <row r="24" ht="15.75" customHeight="1">
      <c r="A24" s="13" t="s">
        <v>69</v>
      </c>
      <c r="B24" s="13" t="s">
        <v>8</v>
      </c>
      <c r="C24" s="13" t="s">
        <v>19</v>
      </c>
      <c r="D24" s="26">
        <v>9056.0</v>
      </c>
      <c r="E24" s="27">
        <f>SUM(EDT!F30:F35)</f>
        <v>16</v>
      </c>
      <c r="F24" s="28">
        <f t="shared" si="5"/>
        <v>144896</v>
      </c>
      <c r="H24" s="15" t="s">
        <v>80</v>
      </c>
      <c r="I24" s="28">
        <f>F35</f>
        <v>1210682</v>
      </c>
    </row>
    <row r="25" ht="15.75" customHeight="1">
      <c r="A25" s="13" t="s">
        <v>70</v>
      </c>
      <c r="B25" s="13" t="s">
        <v>9</v>
      </c>
      <c r="C25" s="13" t="s">
        <v>21</v>
      </c>
      <c r="D25" s="26">
        <v>6667.0</v>
      </c>
      <c r="E25" s="27">
        <f>SUM(EDT!G30:G35)</f>
        <v>28</v>
      </c>
      <c r="F25" s="28">
        <f t="shared" si="5"/>
        <v>186676</v>
      </c>
      <c r="H25" s="29" t="s">
        <v>81</v>
      </c>
      <c r="I25" s="30">
        <f>SUM(I21:I24)</f>
        <v>5033700</v>
      </c>
    </row>
    <row r="26" ht="15.75" customHeight="1">
      <c r="A26" s="15"/>
      <c r="B26" s="31" t="s">
        <v>82</v>
      </c>
      <c r="C26" s="6"/>
      <c r="D26" s="6"/>
      <c r="E26" s="7"/>
      <c r="F26" s="28">
        <f>SUM(F21:F25)</f>
        <v>821566</v>
      </c>
    </row>
    <row r="27" ht="15.75" customHeight="1"/>
    <row r="28" ht="15.75" customHeight="1"/>
    <row r="29" ht="15.75" customHeight="1">
      <c r="A29" s="12" t="s">
        <v>57</v>
      </c>
      <c r="B29" s="12" t="s">
        <v>58</v>
      </c>
      <c r="C29" s="12" t="s">
        <v>59</v>
      </c>
      <c r="D29" s="10" t="s">
        <v>72</v>
      </c>
      <c r="E29" s="12" t="s">
        <v>61</v>
      </c>
      <c r="F29" s="10" t="s">
        <v>83</v>
      </c>
      <c r="H29" s="15" t="s">
        <v>84</v>
      </c>
      <c r="I29" s="32">
        <v>1.2</v>
      </c>
    </row>
    <row r="30" ht="15.75" customHeight="1">
      <c r="A30" s="15" t="s">
        <v>64</v>
      </c>
      <c r="B30" s="15" t="s">
        <v>5</v>
      </c>
      <c r="C30" s="13" t="s">
        <v>13</v>
      </c>
      <c r="D30" s="26">
        <v>12222.0</v>
      </c>
      <c r="E30" s="27">
        <f>SUM(EDT!C37:C44)</f>
        <v>42</v>
      </c>
      <c r="F30" s="28">
        <f t="shared" ref="F30:F34" si="6">D30*E30</f>
        <v>513324</v>
      </c>
      <c r="H30" s="15" t="s">
        <v>85</v>
      </c>
      <c r="I30" s="33">
        <f>I25*I29</f>
        <v>6040440</v>
      </c>
    </row>
    <row r="31" ht="15.75" customHeight="1">
      <c r="A31" s="13" t="s">
        <v>67</v>
      </c>
      <c r="B31" s="13" t="s">
        <v>6</v>
      </c>
      <c r="C31" s="16" t="s">
        <v>15</v>
      </c>
      <c r="D31" s="26">
        <v>6667.0</v>
      </c>
      <c r="E31" s="27">
        <f>SUM(EDT!D37:D44)</f>
        <v>16</v>
      </c>
      <c r="F31" s="28">
        <f t="shared" si="6"/>
        <v>106672</v>
      </c>
      <c r="H31" s="15" t="s">
        <v>86</v>
      </c>
      <c r="I31" s="33">
        <f>I25+I30</f>
        <v>11074140</v>
      </c>
    </row>
    <row r="32" ht="15.75" customHeight="1">
      <c r="A32" s="13" t="s">
        <v>68</v>
      </c>
      <c r="B32" s="13" t="s">
        <v>7</v>
      </c>
      <c r="C32" s="13" t="s">
        <v>17</v>
      </c>
      <c r="D32" s="26">
        <v>5000.0</v>
      </c>
      <c r="E32" s="27">
        <f>SUM(EDT!E37:E44)</f>
        <v>40</v>
      </c>
      <c r="F32" s="28">
        <f t="shared" si="6"/>
        <v>200000</v>
      </c>
    </row>
    <row r="33" ht="15.75" customHeight="1">
      <c r="A33" s="13" t="s">
        <v>69</v>
      </c>
      <c r="B33" s="13" t="s">
        <v>8</v>
      </c>
      <c r="C33" s="13" t="s">
        <v>19</v>
      </c>
      <c r="D33" s="26">
        <v>9056.0</v>
      </c>
      <c r="E33" s="27">
        <f>SUM(EDT!F37:F44)</f>
        <v>24</v>
      </c>
      <c r="F33" s="28">
        <f t="shared" si="6"/>
        <v>217344</v>
      </c>
    </row>
    <row r="34" ht="15.75" customHeight="1">
      <c r="A34" s="13" t="s">
        <v>70</v>
      </c>
      <c r="B34" s="13" t="s">
        <v>9</v>
      </c>
      <c r="C34" s="13" t="s">
        <v>21</v>
      </c>
      <c r="D34" s="26">
        <v>6667.0</v>
      </c>
      <c r="E34" s="27">
        <f>SUM(EDT!G37:G44)</f>
        <v>26</v>
      </c>
      <c r="F34" s="28">
        <f t="shared" si="6"/>
        <v>173342</v>
      </c>
    </row>
    <row r="35" ht="15.75" customHeight="1">
      <c r="A35" s="15"/>
      <c r="B35" s="31" t="s">
        <v>87</v>
      </c>
      <c r="C35" s="6"/>
      <c r="D35" s="6"/>
      <c r="E35" s="7"/>
      <c r="F35" s="28">
        <f>SUM(F30:F34)</f>
        <v>1210682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7">
    <mergeCell ref="H2:K2"/>
    <mergeCell ref="B8:E8"/>
    <mergeCell ref="H11:I11"/>
    <mergeCell ref="B17:E17"/>
    <mergeCell ref="H20:I20"/>
    <mergeCell ref="B26:E26"/>
    <mergeCell ref="B35:E3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1.0"/>
    <col customWidth="1" min="3" max="3" width="39.43"/>
    <col customWidth="1" min="4" max="4" width="90.86"/>
    <col customWidth="1" min="5" max="5" width="56.43"/>
    <col customWidth="1" min="6" max="6" width="54.71"/>
    <col customWidth="1" min="7" max="7" width="54.57"/>
    <col customWidth="1" min="8" max="8" width="43.43"/>
    <col customWidth="1" min="9" max="9" width="38.43"/>
  </cols>
  <sheetData>
    <row r="1">
      <c r="A1" s="34" t="s">
        <v>88</v>
      </c>
      <c r="B1" s="35" t="s">
        <v>89</v>
      </c>
      <c r="C1" s="35" t="s">
        <v>90</v>
      </c>
      <c r="D1" s="35" t="s">
        <v>91</v>
      </c>
      <c r="E1" s="35" t="s">
        <v>92</v>
      </c>
      <c r="F1" s="35" t="s">
        <v>93</v>
      </c>
      <c r="G1" s="35" t="s">
        <v>94</v>
      </c>
      <c r="H1" s="36" t="s">
        <v>95</v>
      </c>
    </row>
    <row r="2">
      <c r="A2" s="37">
        <v>1.0</v>
      </c>
      <c r="B2" s="38">
        <v>1.0</v>
      </c>
      <c r="C2" s="39" t="s">
        <v>4</v>
      </c>
      <c r="D2" s="39" t="s">
        <v>96</v>
      </c>
      <c r="E2" s="39" t="s">
        <v>97</v>
      </c>
      <c r="F2" s="39" t="s">
        <v>98</v>
      </c>
      <c r="G2" s="39" t="s">
        <v>99</v>
      </c>
      <c r="H2" s="39" t="s">
        <v>100</v>
      </c>
    </row>
    <row r="3">
      <c r="A3" s="37">
        <v>2.0</v>
      </c>
      <c r="B3" s="40">
        <v>45658.0</v>
      </c>
      <c r="C3" s="39" t="s">
        <v>101</v>
      </c>
      <c r="D3" s="39" t="s">
        <v>102</v>
      </c>
      <c r="E3" s="39" t="s">
        <v>103</v>
      </c>
      <c r="F3" s="39" t="s">
        <v>104</v>
      </c>
      <c r="G3" s="39" t="s">
        <v>105</v>
      </c>
      <c r="H3" s="39" t="s">
        <v>106</v>
      </c>
    </row>
    <row r="4">
      <c r="A4" s="37">
        <v>2.0</v>
      </c>
      <c r="B4" s="40">
        <v>45689.0</v>
      </c>
      <c r="C4" s="39" t="s">
        <v>14</v>
      </c>
      <c r="D4" s="39" t="s">
        <v>107</v>
      </c>
      <c r="E4" s="39" t="s">
        <v>108</v>
      </c>
      <c r="F4" s="39" t="s">
        <v>109</v>
      </c>
      <c r="G4" s="39" t="s">
        <v>110</v>
      </c>
      <c r="H4" s="39" t="s">
        <v>111</v>
      </c>
    </row>
    <row r="5">
      <c r="A5" s="37">
        <v>2.0</v>
      </c>
      <c r="B5" s="40">
        <v>45717.0</v>
      </c>
      <c r="C5" s="39" t="s">
        <v>16</v>
      </c>
      <c r="D5" s="39" t="s">
        <v>112</v>
      </c>
      <c r="E5" s="39" t="s">
        <v>113</v>
      </c>
      <c r="F5" s="39" t="s">
        <v>114</v>
      </c>
      <c r="G5" s="39" t="s">
        <v>115</v>
      </c>
      <c r="H5" s="39" t="s">
        <v>116</v>
      </c>
    </row>
    <row r="6">
      <c r="A6" s="37">
        <v>2.0</v>
      </c>
      <c r="B6" s="40">
        <v>45748.0</v>
      </c>
      <c r="C6" s="39" t="s">
        <v>18</v>
      </c>
      <c r="D6" s="39" t="s">
        <v>117</v>
      </c>
      <c r="E6" s="39" t="s">
        <v>118</v>
      </c>
      <c r="F6" s="39" t="s">
        <v>119</v>
      </c>
      <c r="G6" s="39" t="s">
        <v>120</v>
      </c>
      <c r="H6" s="39" t="s">
        <v>121</v>
      </c>
    </row>
    <row r="7">
      <c r="A7" s="37">
        <v>2.0</v>
      </c>
      <c r="B7" s="40">
        <v>45778.0</v>
      </c>
      <c r="C7" s="39" t="s">
        <v>20</v>
      </c>
      <c r="D7" s="39" t="s">
        <v>122</v>
      </c>
      <c r="E7" s="39" t="s">
        <v>123</v>
      </c>
      <c r="F7" s="39" t="s">
        <v>124</v>
      </c>
      <c r="G7" s="39" t="s">
        <v>125</v>
      </c>
      <c r="H7" s="39" t="s">
        <v>126</v>
      </c>
    </row>
    <row r="8">
      <c r="A8" s="37">
        <v>2.0</v>
      </c>
      <c r="B8" s="40">
        <v>45809.0</v>
      </c>
      <c r="C8" s="39" t="s">
        <v>22</v>
      </c>
      <c r="D8" s="39" t="s">
        <v>127</v>
      </c>
      <c r="E8" s="39" t="s">
        <v>128</v>
      </c>
      <c r="F8" s="39" t="s">
        <v>129</v>
      </c>
      <c r="G8" s="39" t="s">
        <v>130</v>
      </c>
      <c r="H8" s="39" t="s">
        <v>131</v>
      </c>
    </row>
    <row r="9">
      <c r="A9" s="37">
        <v>1.0</v>
      </c>
      <c r="B9" s="38">
        <v>2.0</v>
      </c>
      <c r="C9" s="39" t="s">
        <v>79</v>
      </c>
      <c r="D9" s="39" t="s">
        <v>132</v>
      </c>
      <c r="E9" s="39" t="s">
        <v>133</v>
      </c>
      <c r="F9" s="39" t="s">
        <v>134</v>
      </c>
      <c r="G9" s="39" t="s">
        <v>135</v>
      </c>
      <c r="H9" s="39" t="s">
        <v>136</v>
      </c>
    </row>
    <row r="10">
      <c r="A10" s="37">
        <v>2.0</v>
      </c>
      <c r="B10" s="40">
        <v>45659.0</v>
      </c>
      <c r="C10" s="39" t="s">
        <v>137</v>
      </c>
      <c r="D10" s="39" t="s">
        <v>138</v>
      </c>
      <c r="E10" s="39" t="s">
        <v>139</v>
      </c>
      <c r="F10" s="39" t="s">
        <v>140</v>
      </c>
      <c r="G10" s="39" t="s">
        <v>141</v>
      </c>
      <c r="H10" s="39" t="s">
        <v>142</v>
      </c>
    </row>
    <row r="11">
      <c r="A11" s="37">
        <v>2.0</v>
      </c>
      <c r="B11" s="40">
        <v>45690.0</v>
      </c>
      <c r="C11" s="39" t="s">
        <v>143</v>
      </c>
      <c r="D11" s="39" t="s">
        <v>144</v>
      </c>
      <c r="E11" s="39" t="s">
        <v>145</v>
      </c>
      <c r="F11" s="39" t="s">
        <v>146</v>
      </c>
      <c r="G11" s="39" t="s">
        <v>147</v>
      </c>
      <c r="H11" s="39" t="s">
        <v>148</v>
      </c>
    </row>
    <row r="12">
      <c r="A12" s="37">
        <v>2.0</v>
      </c>
      <c r="B12" s="40">
        <v>45718.0</v>
      </c>
      <c r="C12" s="39" t="s">
        <v>26</v>
      </c>
      <c r="D12" s="39" t="s">
        <v>149</v>
      </c>
      <c r="E12" s="39" t="s">
        <v>150</v>
      </c>
      <c r="F12" s="39" t="s">
        <v>151</v>
      </c>
      <c r="G12" s="39" t="s">
        <v>152</v>
      </c>
      <c r="H12" s="39" t="s">
        <v>153</v>
      </c>
    </row>
    <row r="13">
      <c r="A13" s="37">
        <v>2.0</v>
      </c>
      <c r="B13" s="40">
        <v>45749.0</v>
      </c>
      <c r="C13" s="39" t="s">
        <v>154</v>
      </c>
      <c r="D13" s="39" t="s">
        <v>155</v>
      </c>
      <c r="E13" s="39" t="s">
        <v>156</v>
      </c>
      <c r="F13" s="39" t="s">
        <v>157</v>
      </c>
      <c r="G13" s="39" t="s">
        <v>158</v>
      </c>
      <c r="H13" s="39" t="s">
        <v>159</v>
      </c>
    </row>
    <row r="14">
      <c r="A14" s="37">
        <v>2.0</v>
      </c>
      <c r="B14" s="40">
        <v>45779.0</v>
      </c>
      <c r="C14" s="39" t="s">
        <v>160</v>
      </c>
      <c r="D14" s="39" t="s">
        <v>161</v>
      </c>
      <c r="E14" s="39" t="s">
        <v>162</v>
      </c>
      <c r="F14" s="39" t="s">
        <v>163</v>
      </c>
      <c r="G14" s="39" t="s">
        <v>164</v>
      </c>
      <c r="H14" s="39" t="s">
        <v>165</v>
      </c>
    </row>
    <row r="15">
      <c r="A15" s="37">
        <v>2.0</v>
      </c>
      <c r="B15" s="40">
        <v>45810.0</v>
      </c>
      <c r="C15" s="39" t="s">
        <v>29</v>
      </c>
      <c r="D15" s="39" t="s">
        <v>166</v>
      </c>
      <c r="E15" s="39" t="s">
        <v>167</v>
      </c>
      <c r="F15" s="39" t="s">
        <v>168</v>
      </c>
      <c r="G15" s="39" t="s">
        <v>169</v>
      </c>
      <c r="H15" s="39" t="s">
        <v>170</v>
      </c>
    </row>
    <row r="16">
      <c r="A16" s="37">
        <v>2.0</v>
      </c>
      <c r="B16" s="40">
        <v>45840.0</v>
      </c>
      <c r="C16" s="39" t="s">
        <v>30</v>
      </c>
      <c r="D16" s="39" t="s">
        <v>171</v>
      </c>
      <c r="E16" s="39" t="s">
        <v>172</v>
      </c>
      <c r="F16" s="39" t="s">
        <v>173</v>
      </c>
      <c r="G16" s="39" t="s">
        <v>174</v>
      </c>
      <c r="H16" s="39" t="s">
        <v>175</v>
      </c>
    </row>
    <row r="17">
      <c r="A17" s="37">
        <v>2.0</v>
      </c>
      <c r="B17" s="40">
        <v>45871.0</v>
      </c>
      <c r="C17" s="39" t="s">
        <v>31</v>
      </c>
      <c r="D17" s="39" t="s">
        <v>176</v>
      </c>
      <c r="E17" s="39" t="s">
        <v>177</v>
      </c>
      <c r="F17" s="39" t="s">
        <v>178</v>
      </c>
      <c r="G17" s="39" t="s">
        <v>179</v>
      </c>
      <c r="H17" s="39" t="s">
        <v>180</v>
      </c>
    </row>
    <row r="18">
      <c r="A18" s="37">
        <v>2.0</v>
      </c>
      <c r="B18" s="40">
        <v>45902.0</v>
      </c>
      <c r="C18" s="39" t="s">
        <v>32</v>
      </c>
      <c r="D18" s="39" t="s">
        <v>181</v>
      </c>
      <c r="E18" s="39" t="s">
        <v>182</v>
      </c>
      <c r="F18" s="39" t="s">
        <v>183</v>
      </c>
      <c r="G18" s="39" t="s">
        <v>184</v>
      </c>
      <c r="H18" s="39" t="s">
        <v>185</v>
      </c>
    </row>
    <row r="19">
      <c r="A19" s="37">
        <v>2.0</v>
      </c>
      <c r="B19" s="40">
        <v>45932.0</v>
      </c>
      <c r="C19" s="39" t="s">
        <v>186</v>
      </c>
      <c r="D19" s="39" t="s">
        <v>187</v>
      </c>
      <c r="E19" s="39" t="s">
        <v>188</v>
      </c>
      <c r="F19" s="39" t="s">
        <v>146</v>
      </c>
      <c r="G19" s="39" t="s">
        <v>189</v>
      </c>
      <c r="H19" s="39" t="s">
        <v>190</v>
      </c>
    </row>
    <row r="20">
      <c r="A20" s="37">
        <v>2.0</v>
      </c>
      <c r="B20" s="40">
        <v>45963.0</v>
      </c>
      <c r="C20" s="39" t="s">
        <v>34</v>
      </c>
      <c r="D20" s="39" t="s">
        <v>191</v>
      </c>
      <c r="E20" s="39" t="s">
        <v>192</v>
      </c>
      <c r="F20" s="39" t="s">
        <v>193</v>
      </c>
      <c r="G20" s="39" t="s">
        <v>194</v>
      </c>
      <c r="H20" s="39" t="s">
        <v>195</v>
      </c>
    </row>
    <row r="21">
      <c r="A21" s="37">
        <v>2.0</v>
      </c>
      <c r="B21" s="40">
        <v>45993.0</v>
      </c>
      <c r="C21" s="39" t="s">
        <v>196</v>
      </c>
      <c r="D21" s="39" t="s">
        <v>197</v>
      </c>
      <c r="E21" s="39" t="s">
        <v>145</v>
      </c>
      <c r="F21" s="39" t="s">
        <v>146</v>
      </c>
      <c r="G21" s="39" t="s">
        <v>198</v>
      </c>
      <c r="H21" s="39" t="s">
        <v>199</v>
      </c>
    </row>
    <row r="22">
      <c r="A22" s="37">
        <v>2.0</v>
      </c>
      <c r="B22" s="38" t="s">
        <v>200</v>
      </c>
      <c r="C22" s="39" t="s">
        <v>201</v>
      </c>
      <c r="D22" s="39" t="s">
        <v>202</v>
      </c>
      <c r="E22" s="39" t="s">
        <v>203</v>
      </c>
      <c r="F22" s="39" t="s">
        <v>204</v>
      </c>
      <c r="G22" s="39" t="s">
        <v>205</v>
      </c>
      <c r="H22" s="39" t="s">
        <v>206</v>
      </c>
    </row>
    <row r="23">
      <c r="A23" s="37">
        <v>2.0</v>
      </c>
      <c r="B23" s="38" t="s">
        <v>207</v>
      </c>
      <c r="C23" s="39" t="s">
        <v>38</v>
      </c>
      <c r="D23" s="39" t="s">
        <v>208</v>
      </c>
      <c r="E23" s="39" t="s">
        <v>209</v>
      </c>
      <c r="F23" s="39" t="s">
        <v>210</v>
      </c>
      <c r="G23" s="39" t="s">
        <v>211</v>
      </c>
      <c r="H23" s="39" t="s">
        <v>212</v>
      </c>
    </row>
    <row r="24">
      <c r="A24" s="37">
        <v>2.0</v>
      </c>
      <c r="B24" s="38" t="s">
        <v>213</v>
      </c>
      <c r="C24" s="39" t="s">
        <v>39</v>
      </c>
      <c r="D24" s="39" t="s">
        <v>214</v>
      </c>
      <c r="E24" s="39" t="s">
        <v>215</v>
      </c>
      <c r="F24" s="39" t="s">
        <v>216</v>
      </c>
      <c r="G24" s="39" t="s">
        <v>217</v>
      </c>
      <c r="H24" s="39" t="s">
        <v>218</v>
      </c>
    </row>
    <row r="25">
      <c r="A25" s="37">
        <v>2.0</v>
      </c>
      <c r="B25" s="38" t="s">
        <v>219</v>
      </c>
      <c r="C25" s="39" t="s">
        <v>40</v>
      </c>
      <c r="D25" s="39" t="s">
        <v>220</v>
      </c>
      <c r="E25" s="39" t="s">
        <v>221</v>
      </c>
      <c r="F25" s="39" t="s">
        <v>222</v>
      </c>
      <c r="G25" s="39" t="s">
        <v>205</v>
      </c>
      <c r="H25" s="39" t="s">
        <v>223</v>
      </c>
    </row>
    <row r="26">
      <c r="A26" s="37">
        <v>1.0</v>
      </c>
      <c r="B26" s="38">
        <v>3.0</v>
      </c>
      <c r="C26" s="39" t="s">
        <v>41</v>
      </c>
      <c r="D26" s="39" t="s">
        <v>224</v>
      </c>
      <c r="E26" s="39" t="s">
        <v>225</v>
      </c>
      <c r="F26" s="39" t="s">
        <v>226</v>
      </c>
      <c r="G26" s="39" t="s">
        <v>227</v>
      </c>
      <c r="H26" s="39" t="s">
        <v>228</v>
      </c>
    </row>
    <row r="27">
      <c r="A27" s="37">
        <v>2.0</v>
      </c>
      <c r="B27" s="40">
        <v>45660.0</v>
      </c>
      <c r="C27" s="39" t="s">
        <v>229</v>
      </c>
      <c r="D27" s="39" t="s">
        <v>230</v>
      </c>
      <c r="E27" s="39" t="s">
        <v>231</v>
      </c>
      <c r="F27" s="39" t="s">
        <v>232</v>
      </c>
      <c r="G27" s="39" t="s">
        <v>233</v>
      </c>
      <c r="H27" s="39" t="s">
        <v>234</v>
      </c>
    </row>
    <row r="28">
      <c r="A28" s="37">
        <v>2.0</v>
      </c>
      <c r="B28" s="40">
        <v>45691.0</v>
      </c>
      <c r="C28" s="39" t="s">
        <v>235</v>
      </c>
      <c r="D28" s="39" t="s">
        <v>236</v>
      </c>
      <c r="E28" s="39" t="s">
        <v>237</v>
      </c>
      <c r="F28" s="39" t="s">
        <v>238</v>
      </c>
      <c r="G28" s="39" t="s">
        <v>239</v>
      </c>
      <c r="H28" s="39" t="s">
        <v>206</v>
      </c>
    </row>
    <row r="29">
      <c r="A29" s="37">
        <v>2.0</v>
      </c>
      <c r="B29" s="40">
        <v>45719.0</v>
      </c>
      <c r="C29" s="39" t="s">
        <v>44</v>
      </c>
      <c r="D29" s="39" t="s">
        <v>240</v>
      </c>
      <c r="E29" s="39" t="s">
        <v>241</v>
      </c>
      <c r="F29" s="39" t="s">
        <v>242</v>
      </c>
      <c r="G29" s="39" t="s">
        <v>243</v>
      </c>
      <c r="H29" s="39" t="s">
        <v>244</v>
      </c>
    </row>
    <row r="30">
      <c r="A30" s="37">
        <v>2.0</v>
      </c>
      <c r="B30" s="40">
        <v>45750.0</v>
      </c>
      <c r="C30" s="39" t="s">
        <v>245</v>
      </c>
      <c r="D30" s="39" t="s">
        <v>246</v>
      </c>
      <c r="E30" s="39" t="s">
        <v>247</v>
      </c>
      <c r="F30" s="39" t="s">
        <v>248</v>
      </c>
      <c r="G30" s="39" t="s">
        <v>249</v>
      </c>
      <c r="H30" s="39" t="s">
        <v>250</v>
      </c>
    </row>
    <row r="31">
      <c r="A31" s="37">
        <v>2.0</v>
      </c>
      <c r="B31" s="40">
        <v>45780.0</v>
      </c>
      <c r="C31" s="39" t="s">
        <v>46</v>
      </c>
      <c r="D31" s="39" t="s">
        <v>251</v>
      </c>
      <c r="E31" s="39" t="s">
        <v>252</v>
      </c>
      <c r="F31" s="39" t="s">
        <v>146</v>
      </c>
      <c r="G31" s="39" t="s">
        <v>253</v>
      </c>
      <c r="H31" s="39" t="s">
        <v>254</v>
      </c>
    </row>
    <row r="32">
      <c r="A32" s="37">
        <v>2.0</v>
      </c>
      <c r="B32" s="40">
        <v>45811.0</v>
      </c>
      <c r="C32" s="39" t="s">
        <v>47</v>
      </c>
      <c r="D32" s="39" t="s">
        <v>255</v>
      </c>
      <c r="E32" s="39" t="s">
        <v>256</v>
      </c>
      <c r="F32" s="39" t="s">
        <v>257</v>
      </c>
      <c r="G32" s="39" t="s">
        <v>258</v>
      </c>
      <c r="H32" s="39" t="s">
        <v>259</v>
      </c>
    </row>
    <row r="33">
      <c r="A33" s="37">
        <v>1.0</v>
      </c>
      <c r="B33" s="38">
        <v>4.0</v>
      </c>
      <c r="C33" s="39" t="s">
        <v>80</v>
      </c>
      <c r="D33" s="39" t="s">
        <v>260</v>
      </c>
      <c r="E33" s="39" t="s">
        <v>261</v>
      </c>
      <c r="F33" s="39" t="s">
        <v>262</v>
      </c>
      <c r="G33" s="39" t="s">
        <v>263</v>
      </c>
      <c r="H33" s="39" t="s">
        <v>264</v>
      </c>
    </row>
    <row r="34">
      <c r="A34" s="37">
        <v>2.0</v>
      </c>
      <c r="B34" s="40">
        <v>45661.0</v>
      </c>
      <c r="C34" s="39" t="s">
        <v>49</v>
      </c>
      <c r="D34" s="39" t="s">
        <v>265</v>
      </c>
      <c r="E34" s="39" t="s">
        <v>266</v>
      </c>
      <c r="F34" s="39" t="s">
        <v>267</v>
      </c>
      <c r="G34" s="39" t="s">
        <v>268</v>
      </c>
      <c r="H34" s="39" t="s">
        <v>269</v>
      </c>
    </row>
    <row r="35">
      <c r="A35" s="37">
        <v>2.0</v>
      </c>
      <c r="B35" s="40">
        <v>45692.0</v>
      </c>
      <c r="C35" s="39" t="s">
        <v>270</v>
      </c>
      <c r="D35" s="39" t="s">
        <v>271</v>
      </c>
      <c r="E35" s="39" t="s">
        <v>272</v>
      </c>
      <c r="F35" s="39" t="s">
        <v>273</v>
      </c>
      <c r="G35" s="39" t="s">
        <v>274</v>
      </c>
      <c r="H35" s="39" t="s">
        <v>275</v>
      </c>
    </row>
    <row r="36">
      <c r="A36" s="37">
        <v>2.0</v>
      </c>
      <c r="B36" s="40">
        <v>45720.0</v>
      </c>
      <c r="C36" s="39" t="s">
        <v>276</v>
      </c>
      <c r="D36" s="39" t="s">
        <v>277</v>
      </c>
      <c r="E36" s="39" t="s">
        <v>278</v>
      </c>
      <c r="F36" s="39" t="s">
        <v>279</v>
      </c>
      <c r="G36" s="39" t="s">
        <v>280</v>
      </c>
      <c r="H36" s="39" t="s">
        <v>281</v>
      </c>
    </row>
    <row r="37">
      <c r="A37" s="37">
        <v>2.0</v>
      </c>
      <c r="B37" s="40">
        <v>45751.0</v>
      </c>
      <c r="C37" s="39" t="s">
        <v>282</v>
      </c>
      <c r="D37" s="39" t="s">
        <v>283</v>
      </c>
      <c r="E37" s="39" t="s">
        <v>182</v>
      </c>
      <c r="F37" s="39" t="s">
        <v>284</v>
      </c>
      <c r="G37" s="39" t="s">
        <v>285</v>
      </c>
      <c r="H37" s="39" t="s">
        <v>286</v>
      </c>
    </row>
    <row r="38">
      <c r="A38" s="37">
        <v>2.0</v>
      </c>
      <c r="B38" s="40">
        <v>45781.0</v>
      </c>
      <c r="C38" s="39" t="s">
        <v>53</v>
      </c>
      <c r="D38" s="39" t="s">
        <v>287</v>
      </c>
      <c r="E38" s="39" t="s">
        <v>288</v>
      </c>
      <c r="F38" s="39" t="s">
        <v>289</v>
      </c>
      <c r="G38" s="39" t="s">
        <v>290</v>
      </c>
      <c r="H38" s="39" t="s">
        <v>291</v>
      </c>
    </row>
    <row r="39">
      <c r="A39" s="37">
        <v>2.0</v>
      </c>
      <c r="B39" s="40">
        <v>45812.0</v>
      </c>
      <c r="C39" s="39" t="s">
        <v>54</v>
      </c>
      <c r="D39" s="39" t="s">
        <v>292</v>
      </c>
      <c r="E39" s="39" t="s">
        <v>182</v>
      </c>
      <c r="F39" s="39" t="s">
        <v>293</v>
      </c>
      <c r="G39" s="39" t="s">
        <v>294</v>
      </c>
      <c r="H39" s="39" t="s">
        <v>295</v>
      </c>
    </row>
    <row r="40">
      <c r="A40" s="37">
        <v>2.0</v>
      </c>
      <c r="B40" s="40">
        <v>45842.0</v>
      </c>
      <c r="C40" s="39" t="s">
        <v>296</v>
      </c>
      <c r="D40" s="39" t="s">
        <v>297</v>
      </c>
      <c r="E40" s="39" t="s">
        <v>298</v>
      </c>
      <c r="F40" s="39" t="s">
        <v>299</v>
      </c>
      <c r="G40" s="39" t="s">
        <v>300</v>
      </c>
      <c r="H40" s="39" t="s">
        <v>301</v>
      </c>
    </row>
    <row r="41">
      <c r="A41" s="37">
        <v>2.0</v>
      </c>
      <c r="B41" s="40">
        <v>45873.0</v>
      </c>
      <c r="C41" s="39" t="s">
        <v>302</v>
      </c>
      <c r="D41" s="39" t="s">
        <v>303</v>
      </c>
      <c r="E41" s="39" t="s">
        <v>304</v>
      </c>
      <c r="F41" s="39" t="s">
        <v>305</v>
      </c>
      <c r="G41" s="39" t="s">
        <v>306</v>
      </c>
      <c r="H41" s="39" t="s">
        <v>307</v>
      </c>
    </row>
  </sheetData>
  <dataValidations>
    <dataValidation type="custom" allowBlank="1" showDropDown="1" sqref="B2:B41">
      <formula1>OR(NOT(ISERROR(DATEVALUE(B2))), AND(ISNUMBER(B2), LEFT(CELL("format", B2))="D"))</formula1>
    </dataValidation>
    <dataValidation type="custom" allowBlank="1" showDropDown="1" sqref="A2:A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